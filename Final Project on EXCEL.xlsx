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E:\"/>
    </mc:Choice>
  </mc:AlternateContent>
  <xr:revisionPtr revIDLastSave="0" documentId="13_ncr:1_{167E1FC2-2C8B-4905-BE1C-A8F84A2DF3BE}" xr6:coauthVersionLast="47" xr6:coauthVersionMax="47" xr10:uidLastSave="{00000000-0000-0000-0000-000000000000}"/>
  <bookViews>
    <workbookView xWindow="-120" yWindow="-120" windowWidth="20730" windowHeight="11040" tabRatio="661" activeTab="4" xr2:uid="{00000000-000D-0000-FFFF-FFFF00000000}"/>
  </bookViews>
  <sheets>
    <sheet name="Cover" sheetId="3" r:id="rId1"/>
    <sheet name="Raw Data" sheetId="1" r:id="rId2"/>
    <sheet name="Solution" sheetId="4" r:id="rId3"/>
    <sheet name="Pivot Table" sheetId="6" r:id="rId4"/>
    <sheet name="DASHBOARD" sheetId="7" r:id="rId5"/>
  </sheets>
  <definedNames>
    <definedName name="Slicer_Category">#N/A</definedName>
  </definedNames>
  <calcPr calcId="191029"/>
  <pivotCaches>
    <pivotCache cacheId="1"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102" i="4" l="1"/>
  <c r="M2" i="4" l="1" a="1"/>
  <c r="M2" i="4" s="1"/>
  <c r="M3" i="4" a="1"/>
  <c r="M3" i="4"/>
  <c r="M4" i="4" a="1"/>
  <c r="M4" i="4"/>
  <c r="M5" i="4" a="1"/>
  <c r="M5" i="4" s="1"/>
  <c r="M6" i="4" a="1"/>
  <c r="M6" i="4"/>
  <c r="M7" i="4" a="1"/>
  <c r="M7" i="4"/>
  <c r="M8" i="4" a="1"/>
  <c r="M8" i="4" s="1"/>
  <c r="M9" i="4" a="1"/>
  <c r="M9" i="4" s="1"/>
  <c r="M10" i="4" a="1"/>
  <c r="M10" i="4"/>
  <c r="M11" i="4" a="1"/>
  <c r="M11" i="4" s="1"/>
  <c r="M12" i="4" a="1"/>
  <c r="M12" i="4"/>
  <c r="M13" i="4" a="1"/>
  <c r="M13" i="4"/>
  <c r="M14" i="4" a="1"/>
  <c r="M14" i="4" s="1"/>
  <c r="M15" i="4" a="1"/>
  <c r="M15" i="4" s="1"/>
  <c r="M16" i="4" a="1"/>
  <c r="M16" i="4"/>
  <c r="M17" i="4" a="1"/>
  <c r="M17" i="4" s="1"/>
  <c r="M18" i="4" a="1"/>
  <c r="M18" i="4"/>
  <c r="M19" i="4" a="1"/>
  <c r="M19" i="4"/>
  <c r="M20" i="4" a="1"/>
  <c r="M20" i="4" s="1"/>
  <c r="M21" i="4" a="1"/>
  <c r="M21" i="4" s="1"/>
  <c r="M22" i="4" a="1"/>
  <c r="M22" i="4"/>
  <c r="M23" i="4" a="1"/>
  <c r="M23" i="4" s="1"/>
  <c r="M24" i="4" a="1"/>
  <c r="M24" i="4"/>
  <c r="M25" i="4" a="1"/>
  <c r="M25" i="4"/>
  <c r="M26" i="4" a="1"/>
  <c r="M26" i="4" s="1"/>
  <c r="M27" i="4" a="1"/>
  <c r="M27" i="4" s="1"/>
  <c r="M28" i="4" a="1"/>
  <c r="M28" i="4"/>
  <c r="M29" i="4" a="1"/>
  <c r="M29" i="4" s="1"/>
  <c r="M30" i="4" a="1"/>
  <c r="M30" i="4"/>
  <c r="M31" i="4" a="1"/>
  <c r="M31" i="4"/>
  <c r="M32" i="4" a="1"/>
  <c r="M32" i="4" s="1"/>
  <c r="M33" i="4" a="1"/>
  <c r="M33" i="4" s="1"/>
  <c r="M34" i="4" a="1"/>
  <c r="M34" i="4"/>
  <c r="M35" i="4" a="1"/>
  <c r="M35" i="4" s="1"/>
  <c r="M36" i="4" a="1"/>
  <c r="M36" i="4"/>
  <c r="M37" i="4" a="1"/>
  <c r="M37" i="4"/>
  <c r="M38" i="4" a="1"/>
  <c r="M38" i="4" s="1"/>
  <c r="M39" i="4" a="1"/>
  <c r="M39" i="4" s="1"/>
  <c r="M40" i="4" a="1"/>
  <c r="M40" i="4"/>
  <c r="M41" i="4" a="1"/>
  <c r="M41" i="4" s="1"/>
  <c r="M42" i="4" a="1"/>
  <c r="M42" i="4" s="1"/>
  <c r="M43" i="4" a="1"/>
  <c r="M43" i="4"/>
  <c r="M44" i="4" a="1"/>
  <c r="M44" i="4" s="1"/>
  <c r="M45" i="4" a="1"/>
  <c r="M45" i="4" s="1"/>
  <c r="M46" i="4" a="1"/>
  <c r="M46" i="4"/>
  <c r="M47" i="4" a="1"/>
  <c r="M47" i="4" s="1"/>
  <c r="M48" i="4" a="1"/>
  <c r="M48" i="4"/>
  <c r="M49" i="4" a="1"/>
  <c r="M49" i="4"/>
  <c r="M50" i="4" a="1"/>
  <c r="M50" i="4" s="1"/>
  <c r="M51" i="4" a="1"/>
  <c r="M51" i="4" s="1"/>
  <c r="M52" i="4" a="1"/>
  <c r="M52" i="4"/>
  <c r="M53" i="4" a="1"/>
  <c r="M53" i="4" s="1"/>
  <c r="M54" i="4" a="1"/>
  <c r="M54" i="4" s="1"/>
  <c r="M55" i="4" a="1"/>
  <c r="M55" i="4"/>
  <c r="M56" i="4" a="1"/>
  <c r="M56" i="4" s="1"/>
  <c r="M57" i="4" a="1"/>
  <c r="M57" i="4" s="1"/>
  <c r="M58" i="4" a="1"/>
  <c r="M58" i="4" s="1"/>
  <c r="M59" i="4" a="1"/>
  <c r="M59" i="4" s="1"/>
  <c r="M60" i="4" a="1"/>
  <c r="M60" i="4" s="1"/>
  <c r="M61" i="4" a="1"/>
  <c r="M61" i="4"/>
  <c r="M62" i="4" a="1"/>
  <c r="M62" i="4" s="1"/>
  <c r="M63" i="4" a="1"/>
  <c r="M63" i="4" s="1"/>
  <c r="M64" i="4" a="1"/>
  <c r="M64" i="4" s="1"/>
  <c r="M65" i="4" a="1"/>
  <c r="M65" i="4" s="1"/>
  <c r="M66" i="4" a="1"/>
  <c r="M66" i="4" s="1"/>
  <c r="M67" i="4" a="1"/>
  <c r="M67" i="4"/>
  <c r="M68" i="4" a="1"/>
  <c r="M68" i="4" s="1"/>
  <c r="M69" i="4" a="1"/>
  <c r="M69" i="4" s="1"/>
  <c r="M70" i="4" a="1"/>
  <c r="M70" i="4" s="1"/>
  <c r="M71" i="4" a="1"/>
  <c r="M71" i="4" s="1"/>
  <c r="M72" i="4" a="1"/>
  <c r="M72" i="4" s="1"/>
  <c r="M73" i="4" a="1"/>
  <c r="M73" i="4" s="1"/>
  <c r="M74" i="4" a="1"/>
  <c r="M74" i="4" s="1"/>
  <c r="M75" i="4" a="1"/>
  <c r="M75" i="4" s="1"/>
  <c r="M76" i="4" a="1"/>
  <c r="M76" i="4" s="1"/>
  <c r="M77" i="4" a="1"/>
  <c r="M77" i="4" s="1"/>
  <c r="M78" i="4" a="1"/>
  <c r="M78" i="4" s="1"/>
  <c r="M79" i="4" a="1"/>
  <c r="M79" i="4" s="1"/>
  <c r="M80" i="4" a="1"/>
  <c r="M80" i="4" s="1"/>
  <c r="M81" i="4" a="1"/>
  <c r="M81" i="4" s="1"/>
  <c r="M82" i="4" a="1"/>
  <c r="M82" i="4" s="1"/>
  <c r="M83" i="4" a="1"/>
  <c r="M83" i="4" s="1"/>
  <c r="M84" i="4" a="1"/>
  <c r="M84" i="4" s="1"/>
  <c r="M85" i="4" a="1"/>
  <c r="M85" i="4"/>
  <c r="M86" i="4" a="1"/>
  <c r="M86" i="4" s="1"/>
  <c r="M87" i="4" a="1"/>
  <c r="M87" i="4" s="1"/>
  <c r="M88" i="4" a="1"/>
  <c r="M88" i="4" s="1"/>
  <c r="M89" i="4" a="1"/>
  <c r="M89" i="4" s="1"/>
  <c r="M90" i="4" a="1"/>
  <c r="M90" i="4" s="1"/>
  <c r="M91" i="4" a="1"/>
  <c r="M91" i="4" s="1"/>
  <c r="M92" i="4" a="1"/>
  <c r="M92" i="4" s="1"/>
  <c r="M93" i="4" a="1"/>
  <c r="M93" i="4" s="1"/>
  <c r="M94" i="4" a="1"/>
  <c r="M94" i="4" s="1"/>
  <c r="M95" i="4" a="1"/>
  <c r="M95" i="4" s="1"/>
  <c r="M96" i="4" a="1"/>
  <c r="M96" i="4" s="1"/>
  <c r="M97" i="4" a="1"/>
  <c r="M97" i="4"/>
  <c r="M98" i="4" a="1"/>
  <c r="M98" i="4" s="1"/>
  <c r="M99" i="4" a="1"/>
  <c r="M99" i="4" s="1"/>
  <c r="M100" i="4" a="1"/>
  <c r="M100" i="4" s="1"/>
  <c r="M101" i="4" a="1"/>
  <c r="M101" i="4" s="1"/>
  <c r="H2" i="4" a="1"/>
  <c r="H2" i="4" s="1"/>
  <c r="A2" i="4"/>
  <c r="C2" i="4" s="1"/>
  <c r="A3" i="4"/>
  <c r="C3" i="4" s="1"/>
  <c r="A4" i="4"/>
  <c r="C4" i="4" s="1"/>
  <c r="A5" i="4"/>
  <c r="B5" i="4" s="1"/>
  <c r="A6" i="4"/>
  <c r="B6" i="4" s="1"/>
  <c r="A7" i="4"/>
  <c r="B7" i="4" s="1"/>
  <c r="A8" i="4"/>
  <c r="B8" i="4" s="1"/>
  <c r="A9" i="4"/>
  <c r="B9" i="4" s="1"/>
  <c r="A10" i="4"/>
  <c r="B10" i="4" s="1"/>
  <c r="A11" i="4"/>
  <c r="B11" i="4" s="1"/>
  <c r="A12" i="4"/>
  <c r="B12" i="4" s="1"/>
  <c r="A13" i="4"/>
  <c r="B13" i="4" s="1"/>
  <c r="A14" i="4"/>
  <c r="B14" i="4" s="1"/>
  <c r="A15" i="4"/>
  <c r="B15" i="4" s="1"/>
  <c r="A16" i="4"/>
  <c r="B16" i="4" s="1"/>
  <c r="A17" i="4"/>
  <c r="B17" i="4" s="1"/>
  <c r="A18" i="4"/>
  <c r="B18" i="4" s="1"/>
  <c r="A19" i="4"/>
  <c r="B19" i="4" s="1"/>
  <c r="A20" i="4"/>
  <c r="B20" i="4" s="1"/>
  <c r="A21" i="4"/>
  <c r="B21" i="4" s="1"/>
  <c r="A22" i="4"/>
  <c r="B22" i="4" s="1"/>
  <c r="A23" i="4"/>
  <c r="B23" i="4" s="1"/>
  <c r="A24" i="4"/>
  <c r="B24" i="4" s="1"/>
  <c r="A25" i="4"/>
  <c r="B25" i="4" s="1"/>
  <c r="A26" i="4"/>
  <c r="B26" i="4" s="1"/>
  <c r="A27" i="4"/>
  <c r="B27" i="4" s="1"/>
  <c r="A28" i="4"/>
  <c r="B28" i="4" s="1"/>
  <c r="A29" i="4"/>
  <c r="B29" i="4" s="1"/>
  <c r="A30" i="4"/>
  <c r="B30" i="4" s="1"/>
  <c r="A31" i="4"/>
  <c r="B31" i="4" s="1"/>
  <c r="A32" i="4"/>
  <c r="B32" i="4" s="1"/>
  <c r="A33" i="4"/>
  <c r="B33" i="4" s="1"/>
  <c r="A34" i="4"/>
  <c r="B34" i="4" s="1"/>
  <c r="A35" i="4"/>
  <c r="B35" i="4" s="1"/>
  <c r="A36" i="4"/>
  <c r="B36" i="4" s="1"/>
  <c r="A37" i="4"/>
  <c r="B37" i="4" s="1"/>
  <c r="A38" i="4"/>
  <c r="B38" i="4" s="1"/>
  <c r="A39" i="4"/>
  <c r="B39" i="4" s="1"/>
  <c r="A40" i="4"/>
  <c r="B40" i="4" s="1"/>
  <c r="A41" i="4"/>
  <c r="B41" i="4" s="1"/>
  <c r="A42" i="4"/>
  <c r="B42" i="4" s="1"/>
  <c r="A43" i="4"/>
  <c r="B43" i="4" s="1"/>
  <c r="A44" i="4"/>
  <c r="B44" i="4" s="1"/>
  <c r="A45" i="4"/>
  <c r="B45" i="4" s="1"/>
  <c r="A46" i="4"/>
  <c r="B46" i="4" s="1"/>
  <c r="A47" i="4"/>
  <c r="B47" i="4" s="1"/>
  <c r="A48" i="4"/>
  <c r="B48" i="4" s="1"/>
  <c r="A49" i="4"/>
  <c r="B49" i="4" s="1"/>
  <c r="A50" i="4"/>
  <c r="B50" i="4" s="1"/>
  <c r="A51" i="4"/>
  <c r="B51" i="4" s="1"/>
  <c r="A52" i="4"/>
  <c r="B52" i="4" s="1"/>
  <c r="A53" i="4"/>
  <c r="B53" i="4" s="1"/>
  <c r="A54" i="4"/>
  <c r="B54" i="4" s="1"/>
  <c r="A55" i="4"/>
  <c r="B55" i="4" s="1"/>
  <c r="A56" i="4"/>
  <c r="B56" i="4" s="1"/>
  <c r="A57" i="4"/>
  <c r="B57" i="4" s="1"/>
  <c r="A58" i="4"/>
  <c r="B58" i="4" s="1"/>
  <c r="A59" i="4"/>
  <c r="B59" i="4" s="1"/>
  <c r="A60" i="4"/>
  <c r="B60" i="4" s="1"/>
  <c r="A61" i="4"/>
  <c r="B61" i="4" s="1"/>
  <c r="A62" i="4"/>
  <c r="B62" i="4" s="1"/>
  <c r="A63" i="4"/>
  <c r="B63" i="4" s="1"/>
  <c r="A64" i="4"/>
  <c r="B64" i="4" s="1"/>
  <c r="A65" i="4"/>
  <c r="B65" i="4" s="1"/>
  <c r="A66" i="4"/>
  <c r="B66" i="4" s="1"/>
  <c r="A67" i="4"/>
  <c r="B67" i="4" s="1"/>
  <c r="A68" i="4"/>
  <c r="B68" i="4" s="1"/>
  <c r="A69" i="4"/>
  <c r="B69" i="4" s="1"/>
  <c r="A70" i="4"/>
  <c r="B70" i="4" s="1"/>
  <c r="A71" i="4"/>
  <c r="B71" i="4" s="1"/>
  <c r="A72" i="4"/>
  <c r="B72" i="4" s="1"/>
  <c r="A73" i="4"/>
  <c r="B73" i="4" s="1"/>
  <c r="A74" i="4"/>
  <c r="B74" i="4" s="1"/>
  <c r="A75" i="4"/>
  <c r="B75" i="4" s="1"/>
  <c r="A76" i="4"/>
  <c r="B76" i="4" s="1"/>
  <c r="A77" i="4"/>
  <c r="B77" i="4" s="1"/>
  <c r="A78" i="4"/>
  <c r="B78" i="4" s="1"/>
  <c r="A79" i="4"/>
  <c r="B79" i="4" s="1"/>
  <c r="A80" i="4"/>
  <c r="B80" i="4" s="1"/>
  <c r="A81" i="4"/>
  <c r="B81" i="4" s="1"/>
  <c r="A82" i="4"/>
  <c r="B82" i="4" s="1"/>
  <c r="A83" i="4"/>
  <c r="B83" i="4" s="1"/>
  <c r="A84" i="4"/>
  <c r="B84" i="4" s="1"/>
  <c r="A85" i="4"/>
  <c r="B85" i="4" s="1"/>
  <c r="A86" i="4"/>
  <c r="B86" i="4" s="1"/>
  <c r="A87" i="4"/>
  <c r="B87" i="4" s="1"/>
  <c r="A88" i="4"/>
  <c r="B88" i="4" s="1"/>
  <c r="A89" i="4"/>
  <c r="B89" i="4" s="1"/>
  <c r="A90" i="4"/>
  <c r="B90" i="4" s="1"/>
  <c r="A91" i="4"/>
  <c r="B91" i="4" s="1"/>
  <c r="A92" i="4"/>
  <c r="B92" i="4" s="1"/>
  <c r="A93" i="4"/>
  <c r="B93" i="4" s="1"/>
  <c r="A94" i="4"/>
  <c r="B94" i="4" s="1"/>
  <c r="A95" i="4"/>
  <c r="B95" i="4" s="1"/>
  <c r="A96" i="4"/>
  <c r="B96" i="4" s="1"/>
  <c r="A97" i="4"/>
  <c r="B97" i="4" s="1"/>
  <c r="A98" i="4"/>
  <c r="B98" i="4" s="1"/>
  <c r="A99" i="4"/>
  <c r="B99" i="4" s="1"/>
  <c r="A100" i="4"/>
  <c r="B100" i="4" s="1"/>
  <c r="A101" i="4"/>
  <c r="B101" i="4" s="1"/>
  <c r="C101" i="4" l="1"/>
  <c r="C89" i="4"/>
  <c r="C77" i="4"/>
  <c r="C65" i="4"/>
  <c r="C53" i="4"/>
  <c r="C41" i="4"/>
  <c r="C29" i="4"/>
  <c r="C17" i="4"/>
  <c r="E17" i="4" s="1"/>
  <c r="C100" i="4"/>
  <c r="C88" i="4"/>
  <c r="C76" i="4"/>
  <c r="C64" i="4"/>
  <c r="C52" i="4"/>
  <c r="C40" i="4"/>
  <c r="C28" i="4"/>
  <c r="C16" i="4"/>
  <c r="C99" i="4"/>
  <c r="C87" i="4"/>
  <c r="C75" i="4"/>
  <c r="C63" i="4"/>
  <c r="C51" i="4"/>
  <c r="C39" i="4"/>
  <c r="C27" i="4"/>
  <c r="C15" i="4"/>
  <c r="C98" i="4"/>
  <c r="C86" i="4"/>
  <c r="C74" i="4"/>
  <c r="C62" i="4"/>
  <c r="C50" i="4"/>
  <c r="C38" i="4"/>
  <c r="C26" i="4"/>
  <c r="C14" i="4"/>
  <c r="C97" i="4"/>
  <c r="C85" i="4"/>
  <c r="C73" i="4"/>
  <c r="C61" i="4"/>
  <c r="E61" i="4" s="1"/>
  <c r="C49" i="4"/>
  <c r="C37" i="4"/>
  <c r="C25" i="4"/>
  <c r="C13" i="4"/>
  <c r="C96" i="4"/>
  <c r="E96" i="4" s="1"/>
  <c r="C84" i="4"/>
  <c r="C72" i="4"/>
  <c r="C60" i="4"/>
  <c r="C48" i="4"/>
  <c r="C36" i="4"/>
  <c r="C24" i="4"/>
  <c r="C12" i="4"/>
  <c r="C95" i="4"/>
  <c r="C83" i="4"/>
  <c r="C71" i="4"/>
  <c r="C59" i="4"/>
  <c r="C47" i="4"/>
  <c r="C35" i="4"/>
  <c r="C23" i="4"/>
  <c r="C11" i="4"/>
  <c r="C94" i="4"/>
  <c r="C82" i="4"/>
  <c r="C70" i="4"/>
  <c r="C58" i="4"/>
  <c r="C46" i="4"/>
  <c r="C34" i="4"/>
  <c r="C22" i="4"/>
  <c r="C10" i="4"/>
  <c r="C93" i="4"/>
  <c r="C81" i="4"/>
  <c r="C69" i="4"/>
  <c r="C57" i="4"/>
  <c r="E57" i="4" s="1"/>
  <c r="C45" i="4"/>
  <c r="E45" i="4" s="1"/>
  <c r="C33" i="4"/>
  <c r="C21" i="4"/>
  <c r="C9" i="4"/>
  <c r="E9" i="4" s="1"/>
  <c r="B3" i="4"/>
  <c r="C92" i="4"/>
  <c r="C80" i="4"/>
  <c r="C68" i="4"/>
  <c r="C56" i="4"/>
  <c r="C44" i="4"/>
  <c r="C32" i="4"/>
  <c r="C20" i="4"/>
  <c r="C8" i="4"/>
  <c r="B4" i="4"/>
  <c r="E4" i="4" s="1"/>
  <c r="C91" i="4"/>
  <c r="C79" i="4"/>
  <c r="C67" i="4"/>
  <c r="C55" i="4"/>
  <c r="C43" i="4"/>
  <c r="C31" i="4"/>
  <c r="C19" i="4"/>
  <c r="C7" i="4"/>
  <c r="C5" i="4"/>
  <c r="C90" i="4"/>
  <c r="C78" i="4"/>
  <c r="C66" i="4"/>
  <c r="C54" i="4"/>
  <c r="C42" i="4"/>
  <c r="E42" i="4" s="1"/>
  <c r="C30" i="4"/>
  <c r="C18" i="4"/>
  <c r="C6" i="4"/>
  <c r="D101" i="4"/>
  <c r="E101" i="4" s="1"/>
  <c r="D97" i="4"/>
  <c r="D93" i="4"/>
  <c r="D89" i="4"/>
  <c r="E89" i="4" s="1"/>
  <c r="D85" i="4"/>
  <c r="D81" i="4"/>
  <c r="E81" i="4" s="1"/>
  <c r="D77" i="4"/>
  <c r="E77" i="4" s="1"/>
  <c r="D73" i="4"/>
  <c r="D69" i="4"/>
  <c r="D65" i="4"/>
  <c r="D61" i="4"/>
  <c r="D57" i="4"/>
  <c r="D53" i="4"/>
  <c r="D49" i="4"/>
  <c r="E49" i="4" s="1"/>
  <c r="D45" i="4"/>
  <c r="D41" i="4"/>
  <c r="E41" i="4" s="1"/>
  <c r="D37" i="4"/>
  <c r="E37" i="4" s="1"/>
  <c r="D33" i="4"/>
  <c r="D29" i="4"/>
  <c r="E29" i="4" s="1"/>
  <c r="D25" i="4"/>
  <c r="E25" i="4" s="1"/>
  <c r="D21" i="4"/>
  <c r="D17" i="4"/>
  <c r="D13" i="4"/>
  <c r="D9" i="4"/>
  <c r="D5" i="4"/>
  <c r="D100" i="4"/>
  <c r="D96" i="4"/>
  <c r="D92" i="4"/>
  <c r="E92" i="4" s="1"/>
  <c r="D88" i="4"/>
  <c r="D84" i="4"/>
  <c r="E84" i="4" s="1"/>
  <c r="D80" i="4"/>
  <c r="E80" i="4" s="1"/>
  <c r="D76" i="4"/>
  <c r="E76" i="4" s="1"/>
  <c r="D72" i="4"/>
  <c r="D68" i="4"/>
  <c r="D64" i="4"/>
  <c r="D60" i="4"/>
  <c r="D56" i="4"/>
  <c r="D52" i="4"/>
  <c r="E52" i="4" s="1"/>
  <c r="D48" i="4"/>
  <c r="D44" i="4"/>
  <c r="E44" i="4" s="1"/>
  <c r="D40" i="4"/>
  <c r="E40" i="4" s="1"/>
  <c r="D36" i="4"/>
  <c r="D32" i="4"/>
  <c r="E32" i="4" s="1"/>
  <c r="D28" i="4"/>
  <c r="E28" i="4" s="1"/>
  <c r="D24" i="4"/>
  <c r="D20" i="4"/>
  <c r="D16" i="4"/>
  <c r="D12" i="4"/>
  <c r="D8" i="4"/>
  <c r="D4" i="4"/>
  <c r="D99" i="4"/>
  <c r="D95" i="4"/>
  <c r="E95" i="4" s="1"/>
  <c r="D91" i="4"/>
  <c r="D87" i="4"/>
  <c r="E87" i="4" s="1"/>
  <c r="D83" i="4"/>
  <c r="E83" i="4" s="1"/>
  <c r="D79" i="4"/>
  <c r="D75" i="4"/>
  <c r="D71" i="4"/>
  <c r="D67" i="4"/>
  <c r="D63" i="4"/>
  <c r="D59" i="4"/>
  <c r="D55" i="4"/>
  <c r="E55" i="4" s="1"/>
  <c r="D51" i="4"/>
  <c r="D47" i="4"/>
  <c r="D43" i="4"/>
  <c r="E43" i="4" s="1"/>
  <c r="D39" i="4"/>
  <c r="D35" i="4"/>
  <c r="E35" i="4" s="1"/>
  <c r="D31" i="4"/>
  <c r="E31" i="4" s="1"/>
  <c r="D27" i="4"/>
  <c r="D23" i="4"/>
  <c r="D19" i="4"/>
  <c r="D15" i="4"/>
  <c r="D11" i="4"/>
  <c r="D7" i="4"/>
  <c r="D3" i="4"/>
  <c r="E3" i="4" s="1"/>
  <c r="E90" i="4"/>
  <c r="E18" i="4"/>
  <c r="B2" i="4"/>
  <c r="D98" i="4"/>
  <c r="E98" i="4" s="1"/>
  <c r="D94" i="4"/>
  <c r="D90" i="4"/>
  <c r="D86" i="4"/>
  <c r="E86" i="4" s="1"/>
  <c r="D82" i="4"/>
  <c r="D78" i="4"/>
  <c r="D74" i="4"/>
  <c r="E74" i="4" s="1"/>
  <c r="D70" i="4"/>
  <c r="D66" i="4"/>
  <c r="D62" i="4"/>
  <c r="E62" i="4" s="1"/>
  <c r="D58" i="4"/>
  <c r="D54" i="4"/>
  <c r="D50" i="4"/>
  <c r="E50" i="4" s="1"/>
  <c r="D46" i="4"/>
  <c r="E46" i="4" s="1"/>
  <c r="D42" i="4"/>
  <c r="D38" i="4"/>
  <c r="D34" i="4"/>
  <c r="E34" i="4" s="1"/>
  <c r="D30" i="4"/>
  <c r="D26" i="4"/>
  <c r="D22" i="4"/>
  <c r="E22" i="4" s="1"/>
  <c r="D18" i="4"/>
  <c r="D14" i="4"/>
  <c r="E14" i="4" s="1"/>
  <c r="D10" i="4"/>
  <c r="E10" i="4" s="1"/>
  <c r="D6" i="4"/>
  <c r="D2" i="4"/>
  <c r="E65" i="4"/>
  <c r="E97" i="4" l="1"/>
  <c r="E47" i="4"/>
  <c r="E24" i="4"/>
  <c r="E72" i="4"/>
  <c r="E69" i="4"/>
  <c r="E99" i="4"/>
  <c r="E33" i="4"/>
  <c r="E85" i="4"/>
  <c r="E39" i="4"/>
  <c r="E5" i="4"/>
  <c r="E7" i="4"/>
  <c r="E30" i="4"/>
  <c r="E67" i="4"/>
  <c r="E93" i="4"/>
  <c r="E79" i="4"/>
  <c r="E73" i="4"/>
  <c r="E26" i="4"/>
  <c r="E56" i="4"/>
  <c r="E53" i="4"/>
  <c r="E13" i="4"/>
  <c r="E66" i="4"/>
  <c r="E21" i="4"/>
  <c r="E58" i="4"/>
  <c r="E19" i="4"/>
  <c r="E91" i="4"/>
  <c r="E82" i="4"/>
  <c r="E48" i="4"/>
  <c r="E38" i="4"/>
  <c r="E11" i="4"/>
  <c r="E59" i="4"/>
  <c r="E100" i="4"/>
  <c r="E88" i="4"/>
  <c r="E15" i="4"/>
  <c r="E8" i="4"/>
  <c r="E94" i="4"/>
  <c r="E70" i="4"/>
  <c r="E36" i="4"/>
  <c r="E51" i="4"/>
  <c r="E12" i="4"/>
  <c r="E23" i="4"/>
  <c r="E16" i="4"/>
  <c r="E64" i="4"/>
  <c r="E78" i="4"/>
  <c r="E63" i="4"/>
  <c r="E60" i="4"/>
  <c r="E71" i="4"/>
  <c r="E6" i="4"/>
  <c r="E54" i="4"/>
  <c r="E27" i="4"/>
  <c r="E75" i="4"/>
  <c r="E20" i="4"/>
  <c r="E68" i="4"/>
  <c r="E2" i="4"/>
  <c r="L2" i="4" l="1"/>
  <c r="L3" i="4"/>
  <c r="L4" i="4"/>
  <c r="L5" i="4"/>
  <c r="L6" i="4"/>
  <c r="L7" i="4"/>
  <c r="L8" i="4"/>
  <c r="L9" i="4"/>
  <c r="L10" i="4"/>
  <c r="L11" i="4"/>
  <c r="L12" i="4"/>
  <c r="L13" i="4"/>
  <c r="L14" i="4"/>
  <c r="L15" i="4"/>
  <c r="L16" i="4"/>
  <c r="L17" i="4"/>
  <c r="L18" i="4"/>
  <c r="L19" i="4"/>
  <c r="L20" i="4"/>
  <c r="L21" i="4"/>
  <c r="L22" i="4"/>
  <c r="L23" i="4"/>
  <c r="L24" i="4"/>
  <c r="L25" i="4"/>
  <c r="L26" i="4"/>
  <c r="L27" i="4"/>
  <c r="L28" i="4"/>
  <c r="L29" i="4"/>
  <c r="L30" i="4"/>
  <c r="L31" i="4"/>
  <c r="L32" i="4"/>
  <c r="L33" i="4"/>
  <c r="L34" i="4"/>
  <c r="L35" i="4"/>
  <c r="L36" i="4"/>
  <c r="L37" i="4"/>
  <c r="L38" i="4"/>
  <c r="L39" i="4"/>
  <c r="L40" i="4"/>
  <c r="L41" i="4"/>
  <c r="L42" i="4"/>
  <c r="L43" i="4"/>
  <c r="L44" i="4"/>
  <c r="L45" i="4"/>
  <c r="L46" i="4"/>
  <c r="L47" i="4"/>
  <c r="L48" i="4"/>
  <c r="L49" i="4"/>
  <c r="L50" i="4"/>
  <c r="L51" i="4"/>
  <c r="L52" i="4"/>
  <c r="L53" i="4"/>
  <c r="L54" i="4"/>
  <c r="L55" i="4"/>
  <c r="L56" i="4"/>
  <c r="L57" i="4"/>
  <c r="L58" i="4"/>
  <c r="L59" i="4"/>
  <c r="L60" i="4"/>
  <c r="L61" i="4"/>
  <c r="L62" i="4"/>
  <c r="L63" i="4"/>
  <c r="L64" i="4"/>
  <c r="L65" i="4"/>
  <c r="L66" i="4"/>
  <c r="L67" i="4"/>
  <c r="L68" i="4"/>
  <c r="L69" i="4"/>
  <c r="L70" i="4"/>
  <c r="L71" i="4"/>
  <c r="L72" i="4"/>
  <c r="L73" i="4"/>
  <c r="L74" i="4"/>
  <c r="L75" i="4"/>
  <c r="L76" i="4"/>
  <c r="L77" i="4"/>
  <c r="L78" i="4"/>
  <c r="L79" i="4"/>
  <c r="L80" i="4"/>
  <c r="L81" i="4"/>
  <c r="L82" i="4"/>
  <c r="L83" i="4"/>
  <c r="L84" i="4"/>
  <c r="L85" i="4"/>
  <c r="L86" i="4"/>
  <c r="L87" i="4"/>
  <c r="L88" i="4"/>
  <c r="L89" i="4"/>
  <c r="L90" i="4"/>
  <c r="L91" i="4"/>
  <c r="L92" i="4"/>
  <c r="L93" i="4"/>
  <c r="L94" i="4"/>
  <c r="L95" i="4"/>
  <c r="L96" i="4"/>
  <c r="L97" i="4"/>
  <c r="L98" i="4"/>
  <c r="L99" i="4"/>
  <c r="L100" i="4"/>
  <c r="L101" i="4"/>
  <c r="H3" i="4" a="1"/>
  <c r="H3" i="4" s="1"/>
  <c r="H4" i="4" a="1"/>
  <c r="H4" i="4" s="1"/>
  <c r="H5" i="4" a="1"/>
  <c r="H5" i="4" s="1"/>
  <c r="H6" i="4" a="1"/>
  <c r="H6" i="4" s="1"/>
  <c r="H7" i="4" a="1"/>
  <c r="H7" i="4" s="1"/>
  <c r="H8" i="4" a="1"/>
  <c r="H8" i="4" s="1"/>
  <c r="H9" i="4" a="1"/>
  <c r="H9" i="4" s="1"/>
  <c r="H10" i="4" a="1"/>
  <c r="H10" i="4" s="1"/>
  <c r="H11" i="4" a="1"/>
  <c r="H11" i="4" s="1"/>
  <c r="H12" i="4" a="1"/>
  <c r="H12" i="4" s="1"/>
  <c r="H13" i="4" a="1"/>
  <c r="H13" i="4" s="1"/>
  <c r="H14" i="4" a="1"/>
  <c r="H14" i="4" s="1"/>
  <c r="H15" i="4" a="1"/>
  <c r="H15" i="4" s="1"/>
  <c r="H16" i="4" a="1"/>
  <c r="H16" i="4" s="1"/>
  <c r="H17" i="4" a="1"/>
  <c r="H17" i="4" s="1"/>
  <c r="H18" i="4" a="1"/>
  <c r="H18" i="4" s="1"/>
  <c r="H19" i="4" a="1"/>
  <c r="H19" i="4" s="1"/>
  <c r="H20" i="4" a="1"/>
  <c r="H20" i="4" s="1"/>
  <c r="H21" i="4" a="1"/>
  <c r="H21" i="4" s="1"/>
  <c r="H22" i="4" a="1"/>
  <c r="H22" i="4" s="1"/>
  <c r="H23" i="4" a="1"/>
  <c r="H23" i="4" s="1"/>
  <c r="H24" i="4" a="1"/>
  <c r="H24" i="4" s="1"/>
  <c r="H25" i="4" a="1"/>
  <c r="H25" i="4" s="1"/>
  <c r="H26" i="4" a="1"/>
  <c r="H26" i="4" s="1"/>
  <c r="H27" i="4" a="1"/>
  <c r="H27" i="4" s="1"/>
  <c r="H28" i="4" a="1"/>
  <c r="H28" i="4" s="1"/>
  <c r="H29" i="4" a="1"/>
  <c r="H29" i="4" s="1"/>
  <c r="H30" i="4" a="1"/>
  <c r="H30" i="4" s="1"/>
  <c r="H31" i="4" a="1"/>
  <c r="H31" i="4" s="1"/>
  <c r="H32" i="4" a="1"/>
  <c r="H32" i="4" s="1"/>
  <c r="H33" i="4" a="1"/>
  <c r="H33" i="4" s="1"/>
  <c r="H34" i="4" a="1"/>
  <c r="H34" i="4" s="1"/>
  <c r="H35" i="4" a="1"/>
  <c r="H35" i="4" s="1"/>
  <c r="H36" i="4" a="1"/>
  <c r="H36" i="4" s="1"/>
  <c r="H37" i="4" a="1"/>
  <c r="H37" i="4" s="1"/>
  <c r="H38" i="4" a="1"/>
  <c r="H38" i="4" s="1"/>
  <c r="H39" i="4" a="1"/>
  <c r="H39" i="4" s="1"/>
  <c r="H40" i="4" a="1"/>
  <c r="H40" i="4" s="1"/>
  <c r="H41" i="4" a="1"/>
  <c r="H41" i="4" s="1"/>
  <c r="H42" i="4" a="1"/>
  <c r="H42" i="4" s="1"/>
  <c r="H43" i="4" a="1"/>
  <c r="H43" i="4" s="1"/>
  <c r="H44" i="4" a="1"/>
  <c r="H44" i="4" s="1"/>
  <c r="H45" i="4" a="1"/>
  <c r="H45" i="4" s="1"/>
  <c r="H46" i="4" a="1"/>
  <c r="H46" i="4" s="1"/>
  <c r="H47" i="4" a="1"/>
  <c r="H47" i="4" s="1"/>
  <c r="H48" i="4" a="1"/>
  <c r="H48" i="4" s="1"/>
  <c r="H49" i="4" a="1"/>
  <c r="H49" i="4" s="1"/>
  <c r="H50" i="4" a="1"/>
  <c r="H50" i="4" s="1"/>
  <c r="H51" i="4" a="1"/>
  <c r="H51" i="4" s="1"/>
  <c r="H52" i="4" a="1"/>
  <c r="H52" i="4" s="1"/>
  <c r="H53" i="4" a="1"/>
  <c r="H53" i="4" s="1"/>
  <c r="H54" i="4" a="1"/>
  <c r="H54" i="4" s="1"/>
  <c r="H55" i="4" a="1"/>
  <c r="H55" i="4" s="1"/>
  <c r="H56" i="4" a="1"/>
  <c r="H56" i="4" s="1"/>
  <c r="H57" i="4" a="1"/>
  <c r="H57" i="4" s="1"/>
  <c r="H58" i="4" a="1"/>
  <c r="H58" i="4" s="1"/>
  <c r="H59" i="4" a="1"/>
  <c r="H59" i="4" s="1"/>
  <c r="H60" i="4" a="1"/>
  <c r="H60" i="4" s="1"/>
  <c r="H61" i="4" a="1"/>
  <c r="H61" i="4" s="1"/>
  <c r="H62" i="4" a="1"/>
  <c r="H62" i="4" s="1"/>
  <c r="H63" i="4" a="1"/>
  <c r="H63" i="4" s="1"/>
  <c r="H64" i="4" a="1"/>
  <c r="H64" i="4" s="1"/>
  <c r="H65" i="4" a="1"/>
  <c r="H65" i="4" s="1"/>
  <c r="H66" i="4" a="1"/>
  <c r="H66" i="4" s="1"/>
  <c r="H67" i="4" a="1"/>
  <c r="H67" i="4" s="1"/>
  <c r="H68" i="4" a="1"/>
  <c r="H68" i="4" s="1"/>
  <c r="H69" i="4" a="1"/>
  <c r="H69" i="4" s="1"/>
  <c r="H70" i="4" a="1"/>
  <c r="H70" i="4" s="1"/>
  <c r="H71" i="4" a="1"/>
  <c r="H71" i="4" s="1"/>
  <c r="H72" i="4" a="1"/>
  <c r="H72" i="4" s="1"/>
  <c r="H73" i="4" a="1"/>
  <c r="H73" i="4" s="1"/>
  <c r="H74" i="4" a="1"/>
  <c r="H74" i="4" s="1"/>
  <c r="H75" i="4" a="1"/>
  <c r="H75" i="4" s="1"/>
  <c r="H76" i="4" a="1"/>
  <c r="H76" i="4" s="1"/>
  <c r="H77" i="4" a="1"/>
  <c r="H77" i="4" s="1"/>
  <c r="H78" i="4" a="1"/>
  <c r="H78" i="4" s="1"/>
  <c r="H79" i="4" a="1"/>
  <c r="H79" i="4" s="1"/>
  <c r="H80" i="4" a="1"/>
  <c r="H80" i="4" s="1"/>
  <c r="H81" i="4" a="1"/>
  <c r="H81" i="4" s="1"/>
  <c r="H82" i="4" a="1"/>
  <c r="H82" i="4" s="1"/>
  <c r="H83" i="4" a="1"/>
  <c r="H83" i="4" s="1"/>
  <c r="H84" i="4" a="1"/>
  <c r="H84" i="4" s="1"/>
  <c r="H85" i="4" a="1"/>
  <c r="H85" i="4" s="1"/>
  <c r="H86" i="4" a="1"/>
  <c r="H86" i="4" s="1"/>
  <c r="H87" i="4" a="1"/>
  <c r="H87" i="4" s="1"/>
  <c r="H88" i="4" a="1"/>
  <c r="H88" i="4" s="1"/>
  <c r="H89" i="4" a="1"/>
  <c r="H89" i="4" s="1"/>
  <c r="H90" i="4" a="1"/>
  <c r="H90" i="4" s="1"/>
  <c r="H91" i="4" a="1"/>
  <c r="H91" i="4" s="1"/>
  <c r="H92" i="4" a="1"/>
  <c r="H92" i="4" s="1"/>
  <c r="H93" i="4" a="1"/>
  <c r="H93" i="4" s="1"/>
  <c r="H94" i="4" a="1"/>
  <c r="H94" i="4" s="1"/>
  <c r="H95" i="4" a="1"/>
  <c r="H95" i="4" s="1"/>
  <c r="H96" i="4" a="1"/>
  <c r="H96" i="4" s="1"/>
  <c r="H97" i="4" a="1"/>
  <c r="H97" i="4" s="1"/>
  <c r="H98" i="4" a="1"/>
  <c r="H98" i="4" s="1"/>
  <c r="H99" i="4" a="1"/>
  <c r="H99" i="4" s="1"/>
  <c r="H100" i="4" a="1"/>
  <c r="H100" i="4" s="1"/>
  <c r="H101" i="4" a="1"/>
  <c r="H101" i="4" s="1"/>
  <c r="G2" i="4"/>
  <c r="G3" i="4"/>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G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F2" i="4" a="1"/>
  <c r="F2" i="4" s="1"/>
  <c r="F3" i="4" a="1"/>
  <c r="F3" i="4" s="1"/>
  <c r="F4" i="4" a="1"/>
  <c r="F4" i="4" s="1"/>
  <c r="F5" i="4" a="1"/>
  <c r="F5" i="4" s="1"/>
  <c r="F6" i="4" a="1"/>
  <c r="F6" i="4" s="1"/>
  <c r="F7" i="4" a="1"/>
  <c r="F7" i="4" s="1"/>
  <c r="F8" i="4" a="1"/>
  <c r="F8" i="4" s="1"/>
  <c r="F9" i="4" a="1"/>
  <c r="F9" i="4" s="1"/>
  <c r="F10" i="4" a="1"/>
  <c r="F10" i="4" s="1"/>
  <c r="F11" i="4" a="1"/>
  <c r="F11" i="4" s="1"/>
  <c r="F12" i="4" a="1"/>
  <c r="F12" i="4" s="1"/>
  <c r="F13" i="4" a="1"/>
  <c r="F13" i="4" s="1"/>
  <c r="F14" i="4" a="1"/>
  <c r="F14" i="4" s="1"/>
  <c r="F15" i="4" a="1"/>
  <c r="F15" i="4" s="1"/>
  <c r="F16" i="4" a="1"/>
  <c r="F16" i="4" s="1"/>
  <c r="F17" i="4" a="1"/>
  <c r="F17" i="4" s="1"/>
  <c r="F18" i="4" a="1"/>
  <c r="F18" i="4" s="1"/>
  <c r="F19" i="4" a="1"/>
  <c r="F19" i="4" s="1"/>
  <c r="F20" i="4" a="1"/>
  <c r="F20" i="4" s="1"/>
  <c r="F21" i="4" a="1"/>
  <c r="F21" i="4" s="1"/>
  <c r="F22" i="4" a="1"/>
  <c r="F22" i="4" s="1"/>
  <c r="F23" i="4" a="1"/>
  <c r="F23" i="4" s="1"/>
  <c r="F24" i="4" a="1"/>
  <c r="F24" i="4" s="1"/>
  <c r="F25" i="4" a="1"/>
  <c r="F25" i="4" s="1"/>
  <c r="F26" i="4" a="1"/>
  <c r="F26" i="4" s="1"/>
  <c r="F27" i="4" a="1"/>
  <c r="F27" i="4" s="1"/>
  <c r="F28" i="4" a="1"/>
  <c r="F28" i="4" s="1"/>
  <c r="F29" i="4" a="1"/>
  <c r="F29" i="4" s="1"/>
  <c r="F30" i="4" a="1"/>
  <c r="F30" i="4" s="1"/>
  <c r="F31" i="4" a="1"/>
  <c r="F31" i="4" s="1"/>
  <c r="F32" i="4" a="1"/>
  <c r="F32" i="4" s="1"/>
  <c r="F33" i="4" a="1"/>
  <c r="F33" i="4" s="1"/>
  <c r="F34" i="4" a="1"/>
  <c r="F34" i="4" s="1"/>
  <c r="F35" i="4" a="1"/>
  <c r="F35" i="4" s="1"/>
  <c r="F36" i="4" a="1"/>
  <c r="F36" i="4" s="1"/>
  <c r="F37" i="4" a="1"/>
  <c r="F37" i="4" s="1"/>
  <c r="F38" i="4" a="1"/>
  <c r="F38" i="4" s="1"/>
  <c r="F39" i="4" a="1"/>
  <c r="F39" i="4" s="1"/>
  <c r="F40" i="4" a="1"/>
  <c r="F40" i="4" s="1"/>
  <c r="F41" i="4" a="1"/>
  <c r="F41" i="4" s="1"/>
  <c r="F42" i="4" a="1"/>
  <c r="F42" i="4" s="1"/>
  <c r="F43" i="4" a="1"/>
  <c r="F43" i="4" s="1"/>
  <c r="F44" i="4" a="1"/>
  <c r="F44" i="4" s="1"/>
  <c r="F45" i="4" a="1"/>
  <c r="F45" i="4" s="1"/>
  <c r="F46" i="4" a="1"/>
  <c r="F46" i="4" s="1"/>
  <c r="F47" i="4" a="1"/>
  <c r="F47" i="4" s="1"/>
  <c r="F48" i="4" a="1"/>
  <c r="F48" i="4" s="1"/>
  <c r="F49" i="4" a="1"/>
  <c r="F49" i="4" s="1"/>
  <c r="F50" i="4" a="1"/>
  <c r="F50" i="4" s="1"/>
  <c r="F51" i="4" a="1"/>
  <c r="F51" i="4" s="1"/>
  <c r="F52" i="4" a="1"/>
  <c r="F52" i="4" s="1"/>
  <c r="F53" i="4" a="1"/>
  <c r="F53" i="4" s="1"/>
  <c r="F54" i="4" a="1"/>
  <c r="F54" i="4" s="1"/>
  <c r="F55" i="4" a="1"/>
  <c r="F55" i="4" s="1"/>
  <c r="F56" i="4" a="1"/>
  <c r="F56" i="4" s="1"/>
  <c r="F57" i="4" a="1"/>
  <c r="F57" i="4" s="1"/>
  <c r="F58" i="4" a="1"/>
  <c r="F58" i="4" s="1"/>
  <c r="F59" i="4" a="1"/>
  <c r="F59" i="4" s="1"/>
  <c r="F60" i="4" a="1"/>
  <c r="F60" i="4" s="1"/>
  <c r="F61" i="4" a="1"/>
  <c r="F61" i="4" s="1"/>
  <c r="F62" i="4" a="1"/>
  <c r="F62" i="4" s="1"/>
  <c r="F63" i="4" a="1"/>
  <c r="F63" i="4" s="1"/>
  <c r="F64" i="4" a="1"/>
  <c r="F64" i="4" s="1"/>
  <c r="F65" i="4" a="1"/>
  <c r="F65" i="4" s="1"/>
  <c r="F66" i="4" a="1"/>
  <c r="F66" i="4" s="1"/>
  <c r="F67" i="4" a="1"/>
  <c r="F67" i="4" s="1"/>
  <c r="F68" i="4" a="1"/>
  <c r="F68" i="4" s="1"/>
  <c r="F69" i="4" a="1"/>
  <c r="F69" i="4" s="1"/>
  <c r="F70" i="4" a="1"/>
  <c r="F70" i="4" s="1"/>
  <c r="F71" i="4" a="1"/>
  <c r="F71" i="4" s="1"/>
  <c r="F72" i="4" a="1"/>
  <c r="F72" i="4" s="1"/>
  <c r="F73" i="4" a="1"/>
  <c r="F73" i="4" s="1"/>
  <c r="F74" i="4" a="1"/>
  <c r="F74" i="4" s="1"/>
  <c r="F75" i="4" a="1"/>
  <c r="F75" i="4" s="1"/>
  <c r="F76" i="4" a="1"/>
  <c r="F76" i="4" s="1"/>
  <c r="F77" i="4" a="1"/>
  <c r="F77" i="4" s="1"/>
  <c r="F78" i="4" a="1"/>
  <c r="F78" i="4" s="1"/>
  <c r="F79" i="4" a="1"/>
  <c r="F79" i="4" s="1"/>
  <c r="F80" i="4" a="1"/>
  <c r="F80" i="4" s="1"/>
  <c r="F81" i="4" a="1"/>
  <c r="F81" i="4" s="1"/>
  <c r="F82" i="4" a="1"/>
  <c r="F82" i="4" s="1"/>
  <c r="F83" i="4" a="1"/>
  <c r="F83" i="4" s="1"/>
  <c r="F84" i="4" a="1"/>
  <c r="F84" i="4" s="1"/>
  <c r="F85" i="4" a="1"/>
  <c r="F85" i="4" s="1"/>
  <c r="F86" i="4" a="1"/>
  <c r="F86" i="4" s="1"/>
  <c r="F87" i="4" a="1"/>
  <c r="F87" i="4" s="1"/>
  <c r="F88" i="4" a="1"/>
  <c r="F88" i="4" s="1"/>
  <c r="F89" i="4" a="1"/>
  <c r="F89" i="4" s="1"/>
  <c r="F90" i="4" a="1"/>
  <c r="F90" i="4" s="1"/>
  <c r="F91" i="4" a="1"/>
  <c r="F91" i="4" s="1"/>
  <c r="F92" i="4" a="1"/>
  <c r="F92" i="4" s="1"/>
  <c r="F93" i="4" a="1"/>
  <c r="F93" i="4" s="1"/>
  <c r="F94" i="4" a="1"/>
  <c r="F94" i="4" s="1"/>
  <c r="F95" i="4" a="1"/>
  <c r="F95" i="4" s="1"/>
  <c r="F96" i="4" a="1"/>
  <c r="F96" i="4" s="1"/>
  <c r="F97" i="4" a="1"/>
  <c r="F97" i="4" s="1"/>
  <c r="F98" i="4" a="1"/>
  <c r="F98" i="4" s="1"/>
  <c r="F99" i="4" a="1"/>
  <c r="F99" i="4" s="1"/>
  <c r="F100" i="4" a="1"/>
  <c r="F100" i="4" s="1"/>
  <c r="F101" i="4" a="1"/>
  <c r="F101" i="4" s="1"/>
  <c r="I87" i="1"/>
  <c r="J2" i="4"/>
  <c r="J3" i="4"/>
  <c r="J4" i="4"/>
  <c r="J5" i="4"/>
  <c r="J6" i="4"/>
  <c r="J7" i="4"/>
  <c r="J8" i="4"/>
  <c r="J9" i="4"/>
  <c r="J10" i="4"/>
  <c r="J11" i="4"/>
  <c r="J12" i="4"/>
  <c r="J13" i="4"/>
  <c r="J14" i="4"/>
  <c r="J15" i="4"/>
  <c r="J16" i="4"/>
  <c r="J17" i="4"/>
  <c r="J18" i="4"/>
  <c r="J19" i="4"/>
  <c r="J20" i="4"/>
  <c r="J21" i="4"/>
  <c r="J22" i="4"/>
  <c r="J23" i="4"/>
  <c r="J24" i="4"/>
  <c r="J25" i="4"/>
  <c r="J26" i="4"/>
  <c r="J27" i="4"/>
  <c r="J28" i="4"/>
  <c r="J29" i="4"/>
  <c r="J30" i="4"/>
  <c r="J31" i="4"/>
  <c r="J32" i="4"/>
  <c r="J33" i="4"/>
  <c r="J34" i="4"/>
  <c r="J35" i="4"/>
  <c r="J36" i="4"/>
  <c r="J37" i="4"/>
  <c r="J38" i="4"/>
  <c r="J39" i="4"/>
  <c r="J40" i="4"/>
  <c r="J41" i="4"/>
  <c r="J42" i="4"/>
  <c r="J43" i="4"/>
  <c r="J44" i="4"/>
  <c r="J45" i="4"/>
  <c r="J46" i="4"/>
  <c r="J47" i="4"/>
  <c r="J48" i="4"/>
  <c r="J49" i="4"/>
  <c r="J50" i="4"/>
  <c r="J51" i="4"/>
  <c r="J52" i="4"/>
  <c r="J53" i="4"/>
  <c r="J54" i="4"/>
  <c r="J55" i="4"/>
  <c r="J56" i="4"/>
  <c r="J57" i="4"/>
  <c r="J58" i="4"/>
  <c r="J59" i="4"/>
  <c r="J60" i="4"/>
  <c r="J61" i="4"/>
  <c r="J62" i="4"/>
  <c r="J63" i="4"/>
  <c r="J64" i="4"/>
  <c r="J65" i="4"/>
  <c r="J66" i="4"/>
  <c r="J67" i="4"/>
  <c r="J68" i="4"/>
  <c r="J69" i="4"/>
  <c r="J70" i="4"/>
  <c r="J71" i="4"/>
  <c r="J72" i="4"/>
  <c r="J73" i="4"/>
  <c r="J74" i="4"/>
  <c r="J75" i="4"/>
  <c r="J76" i="4"/>
  <c r="J77" i="4"/>
  <c r="J78" i="4"/>
  <c r="J79" i="4"/>
  <c r="J80" i="4"/>
  <c r="J81" i="4"/>
  <c r="J82" i="4"/>
  <c r="J83" i="4"/>
  <c r="J84" i="4"/>
  <c r="J85" i="4"/>
  <c r="J86" i="4"/>
  <c r="J87" i="4"/>
  <c r="J88" i="4"/>
  <c r="J89" i="4"/>
  <c r="J90" i="4"/>
  <c r="J91" i="4"/>
  <c r="J92" i="4"/>
  <c r="J93" i="4"/>
  <c r="J94" i="4"/>
  <c r="J95" i="4"/>
  <c r="J96" i="4"/>
  <c r="J97" i="4"/>
  <c r="J98" i="4"/>
  <c r="J99" i="4"/>
  <c r="J100" i="4"/>
  <c r="J101" i="4"/>
  <c r="I2" i="4"/>
  <c r="I3" i="4"/>
  <c r="I4" i="4"/>
  <c r="I5" i="4"/>
  <c r="I6" i="4"/>
  <c r="I7" i="4"/>
  <c r="I8" i="4"/>
  <c r="I9" i="4"/>
  <c r="I10" i="4"/>
  <c r="I11" i="4"/>
  <c r="I12" i="4"/>
  <c r="I13" i="4"/>
  <c r="I14" i="4"/>
  <c r="I15" i="4"/>
  <c r="I16" i="4"/>
  <c r="I17" i="4"/>
  <c r="I18" i="4"/>
  <c r="I19" i="4"/>
  <c r="I20" i="4"/>
  <c r="I21" i="4"/>
  <c r="I22" i="4"/>
  <c r="I23" i="4"/>
  <c r="I24" i="4"/>
  <c r="I25" i="4"/>
  <c r="I26" i="4"/>
  <c r="I27" i="4"/>
  <c r="I28" i="4"/>
  <c r="I29" i="4"/>
  <c r="I30" i="4"/>
  <c r="I31" i="4"/>
  <c r="I32" i="4"/>
  <c r="I33" i="4"/>
  <c r="I34" i="4"/>
  <c r="I35" i="4"/>
  <c r="I36" i="4"/>
  <c r="I37" i="4"/>
  <c r="I38" i="4"/>
  <c r="I39" i="4"/>
  <c r="I40" i="4"/>
  <c r="I41" i="4"/>
  <c r="I42" i="4"/>
  <c r="I43" i="4"/>
  <c r="I44" i="4"/>
  <c r="I45" i="4"/>
  <c r="I46" i="4"/>
  <c r="I47" i="4"/>
  <c r="I48" i="4"/>
  <c r="I49" i="4"/>
  <c r="I50" i="4"/>
  <c r="I51" i="4"/>
  <c r="I52" i="4"/>
  <c r="I53" i="4"/>
  <c r="I54" i="4"/>
  <c r="I55" i="4"/>
  <c r="I56" i="4"/>
  <c r="I57" i="4"/>
  <c r="I58" i="4"/>
  <c r="I59" i="4"/>
  <c r="I60" i="4"/>
  <c r="I61" i="4"/>
  <c r="I62" i="4"/>
  <c r="I63" i="4"/>
  <c r="I64" i="4"/>
  <c r="I65" i="4"/>
  <c r="I66" i="4"/>
  <c r="I67" i="4"/>
  <c r="I68" i="4"/>
  <c r="I69" i="4"/>
  <c r="I70" i="4"/>
  <c r="I71" i="4"/>
  <c r="I72" i="4"/>
  <c r="I73" i="4"/>
  <c r="I74" i="4"/>
  <c r="I75" i="4"/>
  <c r="I76" i="4"/>
  <c r="I77" i="4"/>
  <c r="I78" i="4"/>
  <c r="I79" i="4"/>
  <c r="I80" i="4"/>
  <c r="I81" i="4"/>
  <c r="I82" i="4"/>
  <c r="I83" i="4"/>
  <c r="I84" i="4"/>
  <c r="I85" i="4"/>
  <c r="I86" i="4"/>
  <c r="I87" i="4"/>
  <c r="I88" i="4"/>
  <c r="I89" i="4"/>
  <c r="I90" i="4"/>
  <c r="I91" i="4"/>
  <c r="I92" i="4"/>
  <c r="I93" i="4"/>
  <c r="I94" i="4"/>
  <c r="I95" i="4"/>
  <c r="I96" i="4"/>
  <c r="I97" i="4"/>
  <c r="I98" i="4"/>
  <c r="I99" i="4"/>
  <c r="I100" i="4"/>
  <c r="I101" i="4"/>
  <c r="K101" i="4" l="1"/>
  <c r="K89" i="4"/>
  <c r="K77" i="4"/>
  <c r="K65" i="4"/>
  <c r="K53" i="4"/>
  <c r="K41" i="4"/>
  <c r="K29" i="4"/>
  <c r="K17" i="4"/>
  <c r="K99" i="4"/>
  <c r="K75" i="4"/>
  <c r="K63" i="4"/>
  <c r="K51" i="4"/>
  <c r="K39" i="4"/>
  <c r="K27" i="4"/>
  <c r="K15" i="4"/>
  <c r="K87" i="4"/>
  <c r="K3" i="4"/>
  <c r="K98" i="4"/>
  <c r="K86" i="4"/>
  <c r="K74" i="4"/>
  <c r="K62" i="4"/>
  <c r="K50" i="4"/>
  <c r="K38" i="4"/>
  <c r="K26" i="4"/>
  <c r="K14" i="4"/>
  <c r="K2" i="4"/>
  <c r="K97" i="4"/>
  <c r="K85" i="4"/>
  <c r="K73" i="4"/>
  <c r="K61" i="4"/>
  <c r="K49" i="4"/>
  <c r="K37" i="4"/>
  <c r="K25" i="4"/>
  <c r="K13" i="4"/>
  <c r="K96" i="4"/>
  <c r="K84" i="4"/>
  <c r="K72" i="4"/>
  <c r="K60" i="4"/>
  <c r="K48" i="4"/>
  <c r="K36" i="4"/>
  <c r="K24" i="4"/>
  <c r="K12" i="4"/>
  <c r="K94" i="4"/>
  <c r="K82" i="4"/>
  <c r="K70" i="4"/>
  <c r="K58" i="4"/>
  <c r="K46" i="4"/>
  <c r="K34" i="4"/>
  <c r="K22" i="4"/>
  <c r="K10" i="4"/>
  <c r="K11" i="4"/>
  <c r="K95" i="4"/>
  <c r="K83" i="4"/>
  <c r="K71" i="4"/>
  <c r="K59" i="4"/>
  <c r="K47" i="4"/>
  <c r="K35" i="4"/>
  <c r="K23" i="4"/>
  <c r="K5" i="4"/>
  <c r="K100" i="4"/>
  <c r="K88" i="4"/>
  <c r="K76" i="4"/>
  <c r="K64" i="4"/>
  <c r="K52" i="4"/>
  <c r="K57" i="4"/>
  <c r="K92" i="4"/>
  <c r="K80" i="4"/>
  <c r="K68" i="4"/>
  <c r="K56" i="4"/>
  <c r="K44" i="4"/>
  <c r="K32" i="4"/>
  <c r="K20" i="4"/>
  <c r="K8" i="4"/>
  <c r="K45" i="4"/>
  <c r="K91" i="4"/>
  <c r="K79" i="4"/>
  <c r="K67" i="4"/>
  <c r="K55" i="4"/>
  <c r="K43" i="4"/>
  <c r="K31" i="4"/>
  <c r="K19" i="4"/>
  <c r="K7" i="4"/>
  <c r="K69" i="4"/>
  <c r="K18" i="4"/>
  <c r="K33" i="4"/>
  <c r="K9" i="4"/>
  <c r="K90" i="4"/>
  <c r="K42" i="4"/>
  <c r="K81" i="4"/>
  <c r="K78" i="4"/>
  <c r="K66" i="4"/>
  <c r="K54" i="4"/>
  <c r="K30" i="4"/>
  <c r="K6" i="4"/>
  <c r="K40" i="4"/>
  <c r="K28" i="4"/>
  <c r="K16" i="4"/>
  <c r="K4" i="4"/>
  <c r="K93" i="4"/>
  <c r="K21" i="4"/>
  <c r="K102" i="4" l="1"/>
  <c r="K105" i="4" s="1"/>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<sst xmlns="http://schemas.openxmlformats.org/spreadsheetml/2006/main" count="726" uniqueCount="514">
  <si>
    <t>Date</t>
  </si>
  <si>
    <t>Region</t>
  </si>
  <si>
    <t>Product</t>
  </si>
  <si>
    <t>Category</t>
  </si>
  <si>
    <t>Units Sold</t>
  </si>
  <si>
    <t>Unit Price</t>
  </si>
  <si>
    <t>Sales Rep</t>
  </si>
  <si>
    <t>Customer</t>
  </si>
  <si>
    <t>South</t>
  </si>
  <si>
    <t>LAPTOP  A15</t>
  </si>
  <si>
    <t xml:space="preserve">computers  </t>
  </si>
  <si>
    <t xml:space="preserve">  Peter Obi   </t>
  </si>
  <si>
    <t>bright solutions</t>
  </si>
  <si>
    <t xml:space="preserve"> EAST</t>
  </si>
  <si>
    <t>tv  43q</t>
  </si>
  <si>
    <t>ELECTRONICS</t>
  </si>
  <si>
    <t xml:space="preserve">Ifeanyi Okafor  </t>
  </si>
  <si>
    <t>Musa Enterprises</t>
  </si>
  <si>
    <t xml:space="preserve">North	</t>
  </si>
  <si>
    <t>PHONE X12</t>
  </si>
  <si>
    <t>Mobile</t>
  </si>
  <si>
    <t>fola balogun</t>
  </si>
  <si>
    <t xml:space="preserve"> ZAINAB GLOBAL  </t>
  </si>
  <si>
    <t>17-MAY-2025</t>
  </si>
  <si>
    <t xml:space="preserve">South </t>
  </si>
  <si>
    <t xml:space="preserve"> MONITOR M2 4</t>
  </si>
  <si>
    <t xml:space="preserve">  PERIPHERALS </t>
  </si>
  <si>
    <t>IFEANYI OKAFOR</t>
  </si>
  <si>
    <t xml:space="preserve"> Jid eSuperstores </t>
  </si>
  <si>
    <t xml:space="preserve">28-jan-2025   </t>
  </si>
  <si>
    <t>WEST</t>
  </si>
  <si>
    <t xml:space="preserve">  Phone X12 </t>
  </si>
  <si>
    <t xml:space="preserve"> Mobile</t>
  </si>
  <si>
    <t>petero bi</t>
  </si>
  <si>
    <t>chkia  mart</t>
  </si>
  <si>
    <t xml:space="preserve">  26-May-2025 </t>
  </si>
  <si>
    <t>east,</t>
  </si>
  <si>
    <t>mobile</t>
  </si>
  <si>
    <t>IFEANYI  OKAFOR</t>
  </si>
  <si>
    <t>Musa  Enterprises</t>
  </si>
  <si>
    <t xml:space="preserve"> 06-MAY-2025 </t>
  </si>
  <si>
    <t xml:space="preserve"> WEST </t>
  </si>
  <si>
    <t xml:space="preserve">  tv 43q </t>
  </si>
  <si>
    <t xml:space="preserve"> Electronics</t>
  </si>
  <si>
    <t>AISHA  BELLO</t>
  </si>
  <si>
    <t>Chika  Mart</t>
  </si>
  <si>
    <t>10-Feb-2025</t>
  </si>
  <si>
    <t xml:space="preserve">west  </t>
  </si>
  <si>
    <t xml:space="preserve"> monitor m24  </t>
  </si>
  <si>
    <t>peripherals</t>
  </si>
  <si>
    <t>peter obi</t>
  </si>
  <si>
    <t xml:space="preserve">MUSA ENTERPIRSES </t>
  </si>
  <si>
    <t xml:space="preserve"> 01-FEB-2025 </t>
  </si>
  <si>
    <t xml:space="preserve"> East </t>
  </si>
  <si>
    <t xml:space="preserve"> CAMERA C100</t>
  </si>
  <si>
    <t xml:space="preserve">PHOTOGRAPHY </t>
  </si>
  <si>
    <t xml:space="preserve"> fola balogun </t>
  </si>
  <si>
    <t xml:space="preserve">BRIGTH  SOLUTIONS </t>
  </si>
  <si>
    <t>28-Jun-2025</t>
  </si>
  <si>
    <t>West</t>
  </si>
  <si>
    <t>Tablet  T8</t>
  </si>
  <si>
    <t xml:space="preserve">  mobile ,</t>
  </si>
  <si>
    <t xml:space="preserve">  Peter Obi </t>
  </si>
  <si>
    <t>Alpha Retailers</t>
  </si>
  <si>
    <t xml:space="preserve"> 18-Apr-2025 </t>
  </si>
  <si>
    <t>south</t>
  </si>
  <si>
    <t xml:space="preserve"> TABLET T8 	</t>
  </si>
  <si>
    <t xml:space="preserve">  Mobile</t>
  </si>
  <si>
    <t>fola  balogun</t>
  </si>
  <si>
    <t>MUSA ENTERPRISES</t>
  </si>
  <si>
    <t xml:space="preserve"> 25-Feb-2025</t>
  </si>
  <si>
    <t>North</t>
  </si>
  <si>
    <t>Speake r S10</t>
  </si>
  <si>
    <t xml:space="preserve"> Audio </t>
  </si>
  <si>
    <t>Aisha Bello</t>
  </si>
  <si>
    <t>Omega Wholesale</t>
  </si>
  <si>
    <t xml:space="preserve">  29-Apr-2025</t>
  </si>
  <si>
    <t xml:space="preserve">TABLET  T8 </t>
  </si>
  <si>
    <t xml:space="preserve">Mobile </t>
  </si>
  <si>
    <t xml:space="preserve">  AISHA BELLO</t>
  </si>
  <si>
    <t>kelvin tech</t>
  </si>
  <si>
    <t xml:space="preserve">02-Feb-2025  </t>
  </si>
  <si>
    <t xml:space="preserve"> eats</t>
  </si>
  <si>
    <t xml:space="preserve"> tv 43q</t>
  </si>
  <si>
    <t>Chinedu  Nwosu</t>
  </si>
  <si>
    <t>EMEKA  TRADERS</t>
  </si>
  <si>
    <t xml:space="preserve">15-Apr-2025  </t>
  </si>
  <si>
    <t xml:space="preserve">SOUTH </t>
  </si>
  <si>
    <t xml:space="preserve"> Speaker S10 </t>
  </si>
  <si>
    <t xml:space="preserve"> Audio .</t>
  </si>
  <si>
    <t xml:space="preserve">ifeanyi okafor  </t>
  </si>
  <si>
    <t>BRIGHT SOLUTIONS</t>
  </si>
  <si>
    <t>12-Jun-2025</t>
  </si>
  <si>
    <t xml:space="preserve">East  </t>
  </si>
  <si>
    <t>monitor m24</t>
  </si>
  <si>
    <t xml:space="preserve"> Peripherals </t>
  </si>
  <si>
    <t xml:space="preserve">chinedu nwosu   </t>
  </si>
  <si>
    <t>tola  ventures</t>
  </si>
  <si>
    <t xml:space="preserve">  31-JAN-2025 </t>
  </si>
  <si>
    <t>East</t>
  </si>
  <si>
    <t xml:space="preserve">Camera  C100 </t>
  </si>
  <si>
    <t xml:space="preserve">Photography </t>
  </si>
  <si>
    <t xml:space="preserve"> Fola Balogun </t>
  </si>
  <si>
    <t>02-FEB-2025</t>
  </si>
  <si>
    <t xml:space="preserve">  West</t>
  </si>
  <si>
    <t>Tablet T8</t>
  </si>
  <si>
    <t xml:space="preserve">  mary john </t>
  </si>
  <si>
    <t xml:space="preserve">  Jide Superstores </t>
  </si>
  <si>
    <t xml:space="preserve">25-May-2025 </t>
  </si>
  <si>
    <t xml:space="preserve"> Camera C100</t>
  </si>
  <si>
    <t>Photography</t>
  </si>
  <si>
    <t>Grace  Amos</t>
  </si>
  <si>
    <t xml:space="preserve">Femi Tech </t>
  </si>
  <si>
    <t xml:space="preserve">26-FEB-2025    </t>
  </si>
  <si>
    <t xml:space="preserve"> North</t>
  </si>
  <si>
    <t>Camera  C100</t>
  </si>
  <si>
    <t>Chinedu Nwosu</t>
  </si>
  <si>
    <t>06-Apr-2025 .</t>
  </si>
  <si>
    <t xml:space="preserve"> EAST </t>
  </si>
  <si>
    <t>Laptop A15</t>
  </si>
  <si>
    <t>Computers</t>
  </si>
  <si>
    <t xml:space="preserve">GRACE AMOS </t>
  </si>
  <si>
    <t>24-FEB-2025</t>
  </si>
  <si>
    <t xml:space="preserve"> camera c100   </t>
  </si>
  <si>
    <t xml:space="preserve">  Photography </t>
  </si>
  <si>
    <t>PETER  OBI</t>
  </si>
  <si>
    <t xml:space="preserve">Emeka Traders </t>
  </si>
  <si>
    <t xml:space="preserve">  24-mar-2025</t>
  </si>
  <si>
    <t>EAST</t>
  </si>
  <si>
    <t xml:space="preserve">Tablet T8 </t>
  </si>
  <si>
    <t xml:space="preserve">  mobile.</t>
  </si>
  <si>
    <t>Maryam Ltd</t>
  </si>
  <si>
    <t xml:space="preserve">  28-May-2025 </t>
  </si>
  <si>
    <t>north</t>
  </si>
  <si>
    <t xml:space="preserve"> Tablet T8 </t>
  </si>
  <si>
    <t xml:space="preserve">mobile   </t>
  </si>
  <si>
    <t xml:space="preserve"> ifeanyi okafor </t>
  </si>
  <si>
    <t>omega  wholesale</t>
  </si>
  <si>
    <t xml:space="preserve">  12-MAY-2025</t>
  </si>
  <si>
    <t xml:space="preserve">  West </t>
  </si>
  <si>
    <t>Laptop A15.</t>
  </si>
  <si>
    <t xml:space="preserve"> Computers </t>
  </si>
  <si>
    <t xml:space="preserve"> Grace Amos </t>
  </si>
  <si>
    <t xml:space="preserve">femi tech </t>
  </si>
  <si>
    <t xml:space="preserve">  11-MAY-2025 </t>
  </si>
  <si>
    <t xml:space="preserve"> East</t>
  </si>
  <si>
    <t xml:space="preserve">Camera C010 </t>
  </si>
  <si>
    <t>photography</t>
  </si>
  <si>
    <t xml:space="preserve">chinedu nwosu </t>
  </si>
  <si>
    <t xml:space="preserve"> 16-JAN-2025 </t>
  </si>
  <si>
    <t>North.</t>
  </si>
  <si>
    <t xml:space="preserve"> SPEAKER S10</t>
  </si>
  <si>
    <t xml:space="preserve"> Audio.</t>
  </si>
  <si>
    <t>grace amos</t>
  </si>
  <si>
    <t xml:space="preserve">  Femi Tech </t>
  </si>
  <si>
    <t>10-May-2025</t>
  </si>
  <si>
    <t xml:space="preserve"> Monitor M24 </t>
  </si>
  <si>
    <t>PERIPHERALS</t>
  </si>
  <si>
    <t xml:space="preserve"> Kelvin Tech 	</t>
  </si>
  <si>
    <t>01-feb-2025</t>
  </si>
  <si>
    <t xml:space="preserve">  South </t>
  </si>
  <si>
    <t xml:space="preserve">TV  43Q </t>
  </si>
  <si>
    <t>elecrtonics</t>
  </si>
  <si>
    <t xml:space="preserve"> zainab global	</t>
  </si>
  <si>
    <t xml:space="preserve">06-feb-2025 </t>
  </si>
  <si>
    <t>Electronics</t>
  </si>
  <si>
    <t xml:space="preserve">peter  obi </t>
  </si>
  <si>
    <t xml:space="preserve"> Femi Tech </t>
  </si>
  <si>
    <t>17-JUN-2025</t>
  </si>
  <si>
    <t>west</t>
  </si>
  <si>
    <t xml:space="preserve">Electronics   </t>
  </si>
  <si>
    <t>Tope &amp; Sons .</t>
  </si>
  <si>
    <t xml:space="preserve">  09-Jan-2025 </t>
  </si>
  <si>
    <t>TABLET T8</t>
  </si>
  <si>
    <t>mobile.</t>
  </si>
  <si>
    <t>alpha retailers</t>
  </si>
  <si>
    <t xml:space="preserve">29-Jun-2025 </t>
  </si>
  <si>
    <t xml:space="preserve">North  </t>
  </si>
  <si>
    <t xml:space="preserve"> PHOTOGRAPHY</t>
  </si>
  <si>
    <t>Peter Obi</t>
  </si>
  <si>
    <t>Alpha  Retailers</t>
  </si>
  <si>
    <t xml:space="preserve">1-9mar-2025 </t>
  </si>
  <si>
    <t xml:space="preserve">mobile </t>
  </si>
  <si>
    <t xml:space="preserve"> Peter Obi </t>
  </si>
  <si>
    <t>Femi  Tech</t>
  </si>
  <si>
    <t>06-Feb-2025</t>
  </si>
  <si>
    <t xml:space="preserve"> laptop a15 	</t>
  </si>
  <si>
    <t>Peter Obi.</t>
  </si>
  <si>
    <t xml:space="preserve">Omega Wholesale </t>
  </si>
  <si>
    <t xml:space="preserve">06-Apr-2025  </t>
  </si>
  <si>
    <t>Monitor  M24</t>
  </si>
  <si>
    <t xml:space="preserve">Peripherals  </t>
  </si>
  <si>
    <t>maryam  ltd</t>
  </si>
  <si>
    <t xml:space="preserve"> 07-Feb-2025</t>
  </si>
  <si>
    <t xml:space="preserve">Monitor  M24 </t>
  </si>
  <si>
    <t xml:space="preserve">Peripherals </t>
  </si>
  <si>
    <t xml:space="preserve"> Mary John </t>
  </si>
  <si>
    <t xml:space="preserve">TOPE  &amp; SONS </t>
  </si>
  <si>
    <t xml:space="preserve">  07-mar-2025</t>
  </si>
  <si>
    <t xml:space="preserve"> east </t>
  </si>
  <si>
    <t>CAMERA C100</t>
  </si>
  <si>
    <t>PHOTOGRAPHY</t>
  </si>
  <si>
    <t xml:space="preserve"> GRACE AMOS</t>
  </si>
  <si>
    <t xml:space="preserve">  07-May-2025</t>
  </si>
  <si>
    <t xml:space="preserve">  North</t>
  </si>
  <si>
    <t xml:space="preserve"> PHONE X12 </t>
  </si>
  <si>
    <t>Mobile.</t>
  </si>
  <si>
    <t xml:space="preserve">  MARY JOHN </t>
  </si>
  <si>
    <t>Chkia  Mart</t>
  </si>
  <si>
    <t xml:space="preserve"> 30-Jun-2025 </t>
  </si>
  <si>
    <t>unknown</t>
  </si>
  <si>
    <t xml:space="preserve"> Musa Enterprises </t>
  </si>
  <si>
    <t xml:space="preserve">NORTH  </t>
  </si>
  <si>
    <t xml:space="preserve"> mary john 	</t>
  </si>
  <si>
    <t>TOPE &amp; SONS</t>
  </si>
  <si>
    <t>13-Jan-2025</t>
  </si>
  <si>
    <t>SOUTH</t>
  </si>
  <si>
    <t xml:space="preserve">  PHONE X12 </t>
  </si>
  <si>
    <t xml:space="preserve">15-JUN-2025  </t>
  </si>
  <si>
    <t xml:space="preserve">south </t>
  </si>
  <si>
    <t>LAPTOP A15</t>
  </si>
  <si>
    <t xml:space="preserve"> Mary John</t>
  </si>
  <si>
    <t xml:space="preserve">Chika  Mart </t>
  </si>
  <si>
    <t>28-Feb-2025</t>
  </si>
  <si>
    <t xml:space="preserve">  east</t>
  </si>
  <si>
    <t xml:space="preserve">SPEAKER  S10 </t>
  </si>
  <si>
    <t>Audio</t>
  </si>
  <si>
    <t xml:space="preserve">ifeanyi okafor </t>
  </si>
  <si>
    <t>19-FEB-2025</t>
  </si>
  <si>
    <t xml:space="preserve">west	</t>
  </si>
  <si>
    <t xml:space="preserve">Mary John </t>
  </si>
  <si>
    <t xml:space="preserve">KELVIN TECH </t>
  </si>
  <si>
    <t>03-mar-2025</t>
  </si>
  <si>
    <t xml:space="preserve">  East</t>
  </si>
  <si>
    <t xml:space="preserve">Tablet  T8 </t>
  </si>
  <si>
    <t xml:space="preserve"> mobile,</t>
  </si>
  <si>
    <t>Fola  Balogun</t>
  </si>
  <si>
    <t xml:space="preserve">  ALPHA RETAILERS 	</t>
  </si>
  <si>
    <t>01-APR-2025</t>
  </si>
  <si>
    <t xml:space="preserve"> west </t>
  </si>
  <si>
    <t>MARY JOHN</t>
  </si>
  <si>
    <t xml:space="preserve">  Chika Mart </t>
  </si>
  <si>
    <t xml:space="preserve">07-APR-2025 </t>
  </si>
  <si>
    <t xml:space="preserve">South  </t>
  </si>
  <si>
    <t>TV  43Q</t>
  </si>
  <si>
    <t>grace amos,</t>
  </si>
  <si>
    <t xml:space="preserve">Jide Superstores </t>
  </si>
  <si>
    <t>26-Feb-2025</t>
  </si>
  <si>
    <t xml:space="preserve"> mobile   </t>
  </si>
  <si>
    <t xml:space="preserve"> KELVIN TECH</t>
  </si>
  <si>
    <t>01-jun-2025</t>
  </si>
  <si>
    <t>Speaker  S10</t>
  </si>
  <si>
    <t>audio</t>
  </si>
  <si>
    <t xml:space="preserve">  Aisha Bello </t>
  </si>
  <si>
    <t xml:space="preserve"> BRIGHT SOLUTIONS</t>
  </si>
  <si>
    <t xml:space="preserve">14-jan-2025  </t>
  </si>
  <si>
    <t xml:space="preserve"> West </t>
  </si>
  <si>
    <t>monitor  m24</t>
  </si>
  <si>
    <t xml:space="preserve"> PERIPHERALS</t>
  </si>
  <si>
    <t xml:space="preserve"> fola balogun</t>
  </si>
  <si>
    <t>Femi Tech</t>
  </si>
  <si>
    <t xml:space="preserve">22-feb-2025 	</t>
  </si>
  <si>
    <t xml:space="preserve"> peripherals </t>
  </si>
  <si>
    <t xml:space="preserve">grace amos </t>
  </si>
  <si>
    <t>jide superstores</t>
  </si>
  <si>
    <t xml:space="preserve">24-amr-2025	</t>
  </si>
  <si>
    <t xml:space="preserve">  WEST</t>
  </si>
  <si>
    <t xml:space="preserve">  aisha bello ,</t>
  </si>
  <si>
    <t xml:space="preserve">  Kelvin Tech </t>
  </si>
  <si>
    <t xml:space="preserve">27-Jan-2025 </t>
  </si>
  <si>
    <t xml:space="preserve"> FEMI TECH</t>
  </si>
  <si>
    <t>04-jna-2025</t>
  </si>
  <si>
    <t xml:space="preserve"> West</t>
  </si>
  <si>
    <t xml:space="preserve">tv  43q </t>
  </si>
  <si>
    <t>IFEANYI OKAFOR .</t>
  </si>
  <si>
    <t>JIDE SUPERSTORES ,</t>
  </si>
  <si>
    <t xml:space="preserve">  08-mar-2025</t>
  </si>
  <si>
    <t xml:space="preserve">north  </t>
  </si>
  <si>
    <t xml:space="preserve">phone x12 </t>
  </si>
  <si>
    <t>aisha  bello</t>
  </si>
  <si>
    <t xml:space="preserve"> adewales tores </t>
  </si>
  <si>
    <t xml:space="preserve"> 23-JAN-2025</t>
  </si>
  <si>
    <t xml:space="preserve">Tablet T8	</t>
  </si>
  <si>
    <t>MOBILE</t>
  </si>
  <si>
    <t>Chinedu  Nwosu,</t>
  </si>
  <si>
    <t xml:space="preserve">maryam ltd </t>
  </si>
  <si>
    <t>16-Jan-2025</t>
  </si>
  <si>
    <t xml:space="preserve"> EAST	</t>
  </si>
  <si>
    <t xml:space="preserve">audio </t>
  </si>
  <si>
    <t>Kelvin  Tech</t>
  </si>
  <si>
    <t>05F-eb-2025</t>
  </si>
  <si>
    <t>Sout	h</t>
  </si>
  <si>
    <t>laptop  a15</t>
  </si>
  <si>
    <t xml:space="preserve">COMPUTERS   </t>
  </si>
  <si>
    <t xml:space="preserve"> aisha bello</t>
  </si>
  <si>
    <t>zainab global</t>
  </si>
  <si>
    <t>east</t>
  </si>
  <si>
    <t xml:space="preserve"> 06-jan-2025  </t>
  </si>
  <si>
    <t xml:space="preserve">  south</t>
  </si>
  <si>
    <t xml:space="preserve">  TABLET T8 </t>
  </si>
  <si>
    <t xml:space="preserve"> Mobile </t>
  </si>
  <si>
    <t xml:space="preserve">  aisha bello</t>
  </si>
  <si>
    <t>Emeka  Traders</t>
  </si>
  <si>
    <t xml:space="preserve">  south 	</t>
  </si>
  <si>
    <t>TV 43Q</t>
  </si>
  <si>
    <t>EELCTRONICS</t>
  </si>
  <si>
    <t xml:space="preserve">  CHINEDU NWOSU</t>
  </si>
  <si>
    <t>Tola  Ventures</t>
  </si>
  <si>
    <t xml:space="preserve"> 14-Jan-2025 </t>
  </si>
  <si>
    <t xml:space="preserve"> EAST,</t>
  </si>
  <si>
    <t xml:space="preserve">  Laptop A15</t>
  </si>
  <si>
    <t xml:space="preserve">Computers  </t>
  </si>
  <si>
    <t xml:space="preserve">  chinedu nwosu </t>
  </si>
  <si>
    <t>CHIKA MART</t>
  </si>
  <si>
    <t xml:space="preserve">02-MAY-2025	</t>
  </si>
  <si>
    <t>WES	T</t>
  </si>
  <si>
    <t>Aisha Bello ,</t>
  </si>
  <si>
    <t xml:space="preserve">17-Jun-2205  </t>
  </si>
  <si>
    <t xml:space="preserve">SPEAKER S10	</t>
  </si>
  <si>
    <t>Fola Balogun</t>
  </si>
  <si>
    <t xml:space="preserve">  emeka traders</t>
  </si>
  <si>
    <t xml:space="preserve"> 13-Jan-2025 </t>
  </si>
  <si>
    <t>West.</t>
  </si>
  <si>
    <t xml:space="preserve">  Chinedu Nwosu</t>
  </si>
  <si>
    <t xml:space="preserve"> Tola Ventuers </t>
  </si>
  <si>
    <t xml:space="preserve">02-Jun-2025 </t>
  </si>
  <si>
    <t xml:space="preserve"> MOBILE</t>
  </si>
  <si>
    <t xml:space="preserve">Ifeanyi Okafor </t>
  </si>
  <si>
    <t>16-Feb-2025</t>
  </si>
  <si>
    <t>CAMERA C100,</t>
  </si>
  <si>
    <t>Photography,</t>
  </si>
  <si>
    <t xml:space="preserve">peter obi </t>
  </si>
  <si>
    <t>14-APR-2025.</t>
  </si>
  <si>
    <t xml:space="preserve"> Speaker S10</t>
  </si>
  <si>
    <t xml:space="preserve">AUDIO </t>
  </si>
  <si>
    <t xml:space="preserve">  chinedu nwosu</t>
  </si>
  <si>
    <t xml:space="preserve">Kelvin Tech </t>
  </si>
  <si>
    <t xml:space="preserve"> 06-Jan-2025</t>
  </si>
  <si>
    <t xml:space="preserve">Laptop A15 </t>
  </si>
  <si>
    <t xml:space="preserve"> COMPUTERS </t>
  </si>
  <si>
    <t xml:space="preserve">  Grace Amos .</t>
  </si>
  <si>
    <t>Chika Mart</t>
  </si>
  <si>
    <t xml:space="preserve">11-JAN-2025 </t>
  </si>
  <si>
    <t xml:space="preserve">Chinedu Nwosu </t>
  </si>
  <si>
    <t xml:space="preserve"> TOLA VENTURES</t>
  </si>
  <si>
    <t xml:space="preserve"> south,</t>
  </si>
  <si>
    <t xml:space="preserve"> Tv 43Q </t>
  </si>
  <si>
    <t xml:space="preserve"> ELECTRONICS	</t>
  </si>
  <si>
    <t xml:space="preserve">Chinedu  Nwosu </t>
  </si>
  <si>
    <t xml:space="preserve">Omega  Wholesale </t>
  </si>
  <si>
    <t xml:space="preserve"> 14-jan-2025 </t>
  </si>
  <si>
    <t xml:space="preserve"> monitor m24</t>
  </si>
  <si>
    <t xml:space="preserve">PERIPHERALS </t>
  </si>
  <si>
    <t>29-May-2025</t>
  </si>
  <si>
    <t>PHONE  X12</t>
  </si>
  <si>
    <t>zianab  global ,</t>
  </si>
  <si>
    <t xml:space="preserve">15-MAR-2025 </t>
  </si>
  <si>
    <t>Camer aC100</t>
  </si>
  <si>
    <t>AISHA BELLO</t>
  </si>
  <si>
    <t xml:space="preserve"> Jide Superstores   </t>
  </si>
  <si>
    <t>26-Mar-2025</t>
  </si>
  <si>
    <t xml:space="preserve">EAST  </t>
  </si>
  <si>
    <t xml:space="preserve">audio  </t>
  </si>
  <si>
    <t>GRACE AMOS</t>
  </si>
  <si>
    <t xml:space="preserve">Adewale  Stores  </t>
  </si>
  <si>
    <t>12-jan-2025</t>
  </si>
  <si>
    <t xml:space="preserve"> NORTH</t>
  </si>
  <si>
    <t>tv 43q</t>
  </si>
  <si>
    <t xml:space="preserve">  Electronics </t>
  </si>
  <si>
    <t xml:space="preserve">  emeka tarders</t>
  </si>
  <si>
    <t xml:space="preserve"> 23-Jan-2025 </t>
  </si>
  <si>
    <t>Norht</t>
  </si>
  <si>
    <t xml:space="preserve">  tv 43q</t>
  </si>
  <si>
    <t xml:space="preserve">  fola balogun</t>
  </si>
  <si>
    <t>Emeka Tradesr</t>
  </si>
  <si>
    <t xml:space="preserve">  05-May-2025 </t>
  </si>
  <si>
    <t xml:space="preserve">Tv 43Q  </t>
  </si>
  <si>
    <t xml:space="preserve"> ELECTRONICS </t>
  </si>
  <si>
    <t>ifeanyi  okafor</t>
  </si>
  <si>
    <t>19-May-2025</t>
  </si>
  <si>
    <t xml:space="preserve"> SOUTH </t>
  </si>
  <si>
    <t>SPEAKER S10</t>
  </si>
  <si>
    <t xml:space="preserve">  Audio </t>
  </si>
  <si>
    <t xml:space="preserve">aisha bello   </t>
  </si>
  <si>
    <t xml:space="preserve"> 04A-pr-2025</t>
  </si>
  <si>
    <t xml:space="preserve">  EAST</t>
  </si>
  <si>
    <t>TABLET  T8</t>
  </si>
  <si>
    <t>Mobile .</t>
  </si>
  <si>
    <t xml:space="preserve"> FOLA BALOGUN  </t>
  </si>
  <si>
    <t xml:space="preserve"> Musa Enterprises</t>
  </si>
  <si>
    <t xml:space="preserve"> 26-feb-2025</t>
  </si>
  <si>
    <t xml:space="preserve"> South</t>
  </si>
  <si>
    <t>monitor m24,</t>
  </si>
  <si>
    <t xml:space="preserve"> Peripherals</t>
  </si>
  <si>
    <t xml:space="preserve">Grace Amos </t>
  </si>
  <si>
    <t>femi tech</t>
  </si>
  <si>
    <t xml:space="preserve"> 03-jun-2025</t>
  </si>
  <si>
    <t xml:space="preserve"> adewale stores </t>
  </si>
  <si>
    <t xml:space="preserve">05-apr-2025 </t>
  </si>
  <si>
    <t xml:space="preserve"> COMPUTERS</t>
  </si>
  <si>
    <t xml:space="preserve"> Chinedu Nwosu </t>
  </si>
  <si>
    <t>30-JAN-2025</t>
  </si>
  <si>
    <t>MONITOR  M24</t>
  </si>
  <si>
    <t xml:space="preserve">Perpiherals  </t>
  </si>
  <si>
    <t xml:space="preserve"> 31-Jan-2025 </t>
  </si>
  <si>
    <t xml:space="preserve"> North </t>
  </si>
  <si>
    <t xml:space="preserve">laptop a15 </t>
  </si>
  <si>
    <t xml:space="preserve"> Comupters</t>
  </si>
  <si>
    <t xml:space="preserve"> AISHA BELLO </t>
  </si>
  <si>
    <t xml:space="preserve">OMEGA WHOLESALE </t>
  </si>
  <si>
    <t xml:space="preserve">27-MAY-0225 </t>
  </si>
  <si>
    <t xml:space="preserve">Aisha Bello </t>
  </si>
  <si>
    <t>08-pAr-2025</t>
  </si>
  <si>
    <t xml:space="preserve">Alpha Retailers </t>
  </si>
  <si>
    <t xml:space="preserve"> 13-FEB-2025 </t>
  </si>
  <si>
    <t xml:space="preserve"> Laptop A15</t>
  </si>
  <si>
    <t>Omega  Wholesale</t>
  </si>
  <si>
    <t>09-aMr-2025</t>
  </si>
  <si>
    <t xml:space="preserve">Laptop  A15 	</t>
  </si>
  <si>
    <t xml:space="preserve">  Computers </t>
  </si>
  <si>
    <t xml:space="preserve">IFEANYI O KAFOR 	</t>
  </si>
  <si>
    <t>femi  tech ,</t>
  </si>
  <si>
    <t>20-FEB-2052</t>
  </si>
  <si>
    <t xml:space="preserve">  west</t>
  </si>
  <si>
    <t xml:space="preserve">Speaker  S10 </t>
  </si>
  <si>
    <t>AUDIO</t>
  </si>
  <si>
    <t xml:space="preserve"> fola balogun,</t>
  </si>
  <si>
    <t>FEMI  TECH</t>
  </si>
  <si>
    <t>19-Feb-2025</t>
  </si>
  <si>
    <t>EAST ,</t>
  </si>
  <si>
    <t xml:space="preserve">Laptop A15  </t>
  </si>
  <si>
    <t xml:space="preserve"> COMPUTRES</t>
  </si>
  <si>
    <t>Mary  John</t>
  </si>
  <si>
    <t xml:space="preserve">TOEP &amp; SONS </t>
  </si>
  <si>
    <t xml:space="preserve">10-Apr-2025 </t>
  </si>
  <si>
    <t xml:space="preserve">East </t>
  </si>
  <si>
    <t>Camera C100,</t>
  </si>
  <si>
    <t>Mary John</t>
  </si>
  <si>
    <t xml:space="preserve"> Kelvin Tech</t>
  </si>
  <si>
    <t xml:space="preserve"> 21-May-2025</t>
  </si>
  <si>
    <t xml:space="preserve">GRACE AMOS   </t>
  </si>
  <si>
    <t xml:space="preserve"> MUSA ENTERPRISES </t>
  </si>
  <si>
    <t>26-jun-2025</t>
  </si>
  <si>
    <t xml:space="preserve">Camera C100   </t>
  </si>
  <si>
    <t xml:space="preserve">  Photography</t>
  </si>
  <si>
    <t xml:space="preserve"> MARY JOHN .</t>
  </si>
  <si>
    <t xml:space="preserve">Bright Solutions  </t>
  </si>
  <si>
    <t xml:space="preserve"> 20-feb-2025</t>
  </si>
  <si>
    <t xml:space="preserve">  South</t>
  </si>
  <si>
    <t>audio .</t>
  </si>
  <si>
    <t xml:space="preserve">  Peter Obi</t>
  </si>
  <si>
    <t xml:space="preserve"> TOLA VENTURES </t>
  </si>
  <si>
    <t xml:space="preserve">  27-Ju-n2025</t>
  </si>
  <si>
    <t xml:space="preserve">north	</t>
  </si>
  <si>
    <t xml:space="preserve">camera  c100 </t>
  </si>
  <si>
    <t xml:space="preserve">Photography  </t>
  </si>
  <si>
    <t xml:space="preserve"> IFEANYI OKAFOR </t>
  </si>
  <si>
    <t xml:space="preserve">  emeka traders </t>
  </si>
  <si>
    <t xml:space="preserve"> 05-Feb-2025 </t>
  </si>
  <si>
    <t xml:space="preserve">  07-Jun-2025</t>
  </si>
  <si>
    <t xml:space="preserve"> peter obi </t>
  </si>
  <si>
    <t>femi  tech</t>
  </si>
  <si>
    <t xml:space="preserve">  13-May-2025 </t>
  </si>
  <si>
    <t xml:space="preserve"> WEST</t>
  </si>
  <si>
    <t xml:space="preserve">TABLET T8 </t>
  </si>
  <si>
    <t xml:space="preserve"> Mobile  </t>
  </si>
  <si>
    <t xml:space="preserve">grace amos	</t>
  </si>
  <si>
    <t>ALPHA RETAILERS</t>
  </si>
  <si>
    <t>Capstone project</t>
  </si>
  <si>
    <t>Praise Odunayo</t>
  </si>
  <si>
    <t>Aba Joel</t>
  </si>
  <si>
    <t>Job Austin</t>
  </si>
  <si>
    <t>Total Sales</t>
  </si>
  <si>
    <t>Row Labels</t>
  </si>
  <si>
    <t>Grand Total</t>
  </si>
  <si>
    <t>Sum of Total Sales</t>
  </si>
  <si>
    <t>TOTAL SALES BY REGION</t>
  </si>
  <si>
    <t>BEST SELLING PRODUCT</t>
  </si>
  <si>
    <t>Camerac010</t>
  </si>
  <si>
    <t>Camerac100</t>
  </si>
  <si>
    <t>Laptopa15</t>
  </si>
  <si>
    <t>Monitorm24</t>
  </si>
  <si>
    <t>Phonex12</t>
  </si>
  <si>
    <t>Speakers10</t>
  </si>
  <si>
    <t>Tablett8</t>
  </si>
  <si>
    <t>Tv43Q</t>
  </si>
  <si>
    <t>Unknown</t>
  </si>
  <si>
    <t>Sum of Units Sold</t>
  </si>
  <si>
    <t>SALES PERFORMANCE BY SALES REP</t>
  </si>
  <si>
    <t>ABAJOEL</t>
  </si>
  <si>
    <t>AISHABELLO</t>
  </si>
  <si>
    <t>CHINEDUNWOSU</t>
  </si>
  <si>
    <t>FOLABALOGUN</t>
  </si>
  <si>
    <t>GRACEAMOS</t>
  </si>
  <si>
    <t>IFEANYIOKAFOR</t>
  </si>
  <si>
    <t>JOBAUSTIN</t>
  </si>
  <si>
    <t>MARYJOHN</t>
  </si>
  <si>
    <t>PETEROBI</t>
  </si>
  <si>
    <t>PRAISEODUNAYO</t>
  </si>
  <si>
    <t>Peripherals</t>
  </si>
  <si>
    <t>TOTAL SALES BY CATEGORY</t>
  </si>
  <si>
    <t>SALES UNIT BY SALES REP</t>
  </si>
  <si>
    <t>REGION WITH THE HIGHEST SALES PRODUCT</t>
  </si>
  <si>
    <t>REGION</t>
  </si>
  <si>
    <t>% of Total</t>
  </si>
  <si>
    <t>PERCENTAGE SALES OF PRODUCT IN CATEGORY</t>
  </si>
  <si>
    <t>Raw Date</t>
  </si>
  <si>
    <t>Month</t>
  </si>
  <si>
    <t>Day</t>
  </si>
  <si>
    <t>Year</t>
  </si>
  <si>
    <t>Musa Enterprrises</t>
  </si>
  <si>
    <t>Bright Solutions</t>
  </si>
  <si>
    <t>Jide Superstores</t>
  </si>
  <si>
    <t>TOP 5 CUSTOMERS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</si>
</sst>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_-* #,##0_-;\-* #,##0_-;_-* &quot;-&quot;??_-;_-@_-"/>
    <numFmt numFmtId="165" formatCode="#,###.00,,&quot;m&quot;"/>
  </numFmts>
  <fonts count="8" x14ac:knownFonts="1">
    <font>
      <sz val="11"/>
      <color theme="1"/>
      <name val="Calibri"/>
      <family val="2"/>
      <scheme val="minor"/>
    </font>
    <font>
      <b/>
      <sz val="11"/>
      <color theme="0"/>
      <name val="Calibri"/>
      <family val="2"/>
    </font>
    <font>
      <b/>
      <sz val="26"/>
      <color rgb="FF002060"/>
      <name val="Calibri"/>
      <family val="2"/>
      <scheme val="minor"/>
    </font>
    <font>
      <b/>
      <sz val="11"/>
      <color rgb="FF002060"/>
      <name val="Calibri"/>
      <family val="2"/>
      <scheme val="minor"/>
    </font>
    <font>
      <sz val="11"/>
      <color theme="1"/>
      <name val="Calibri"/>
      <family val="2"/>
      <scheme val="minor"/>
    </font>
    <font>
      <sz val="11"/>
      <name val="Calibri"/>
      <family val="2"/>
    </font>
    <font>
      <sz val="11"/>
      <name val="Calibri"/>
      <family val="2"/>
      <scheme val="minor"/>
    </font>
    <font>
      <b/>
      <sz val="11"/>
      <color theme="1"/>
      <name val="Calibri"/>
      <family val="2"/>
      <scheme val="minor"/>
    </font>
  </fonts>
  <fills count="6">
    <fill>
      <patternFill patternType="none"/>
    </fill>
    <fill>
      <patternFill patternType="gray125"/>
    </fill>
    <fill>
      <patternFill patternType="solid">
        <fgColor rgb="FF002060"/>
        <bgColor indexed="64"/>
      </patternFill>
    </fill>
    <fill>
      <patternFill patternType="solid">
        <fgColor theme="4" tint="0.79998168889431442"/>
        <bgColor indexed="64"/>
      </patternFill>
    </fill>
    <fill>
      <patternFill patternType="solid">
        <fgColor theme="0"/>
        <bgColor indexed="64"/>
      </patternFill>
    </fill>
    <fill>
      <patternFill patternType="solid">
        <fgColor theme="4" tint="0.79998168889431442"/>
        <bgColor theme="4" tint="0.79998168889431442"/>
      </patternFill>
    </fill>
  </fills>
  <borders count="8">
    <border>
      <left/>
      <right/>
      <top/>
      <bottom/>
      <diagonal/>
    </border>
    <border>
      <left style="thin">
        <color auto="1"/>
      </left>
      <right style="thin">
        <color auto="1"/>
      </right>
      <top style="thin">
        <color auto="1"/>
      </top>
      <bottom style="thin">
        <color auto="1"/>
      </bottom>
      <diagonal/>
    </border>
    <border>
      <left/>
      <right/>
      <top/>
      <bottom style="medium">
        <color indexed="64"/>
      </bottom>
      <diagonal/>
    </border>
    <border>
      <left/>
      <right style="thin">
        <color auto="1"/>
      </right>
      <top style="thin">
        <color auto="1"/>
      </top>
      <bottom/>
      <diagonal/>
    </border>
    <border>
      <left style="thin">
        <color auto="1"/>
      </left>
      <right style="thin">
        <color auto="1"/>
      </right>
      <top style="thin">
        <color auto="1"/>
      </top>
      <bottom/>
      <diagonal/>
    </border>
    <border>
      <left style="thin">
        <color auto="1"/>
      </left>
      <right/>
      <top style="thin">
        <color auto="1"/>
      </top>
      <bottom/>
      <diagonal/>
    </border>
    <border>
      <left/>
      <right/>
      <top style="thin">
        <color theme="4" tint="0.39997558519241921"/>
      </top>
      <bottom/>
      <diagonal/>
    </border>
    <border>
      <left/>
      <right/>
      <top style="thin">
        <color auto="1"/>
      </top>
      <bottom/>
      <diagonal/>
    </border>
  </borders>
  <cellStyleXfs count="2">
    <xf numFmtId="0" fontId="0" fillId="0" borderId="0"/>
    <xf numFmtId="43" fontId="4" fillId="0" borderId="0" applyFont="0" applyFill="0" applyBorder="0" applyAlignment="0" applyProtection="0"/>
  </cellStyleXfs>
  <cellXfs count="35">
    <xf numFmtId="0" fontId="0" fillId="0" borderId="0" xfId="0"/>
    <xf numFmtId="0" fontId="0" fillId="0" borderId="1" xfId="0" applyBorder="1"/>
    <xf numFmtId="0" fontId="1" fillId="2" borderId="1" xfId="0" applyFont="1" applyFill="1" applyBorder="1" applyAlignment="1">
      <alignment horizontal="center" vertical="top"/>
    </xf>
    <xf numFmtId="15" fontId="0" fillId="0" borderId="1" xfId="0" applyNumberFormat="1" applyBorder="1"/>
    <xf numFmtId="0" fontId="0" fillId="3" borderId="0" xfId="0" applyFill="1"/>
    <xf numFmtId="0" fontId="2" fillId="3" borderId="2" xfId="0" applyFont="1" applyFill="1" applyBorder="1"/>
    <xf numFmtId="0" fontId="3" fillId="3" borderId="2" xfId="0" applyFont="1" applyFill="1" applyBorder="1"/>
    <xf numFmtId="0" fontId="1" fillId="2" borderId="3" xfId="0" applyFont="1" applyFill="1" applyBorder="1" applyAlignment="1">
      <alignment horizontal="center" vertical="top"/>
    </xf>
    <xf numFmtId="0" fontId="1" fillId="2" borderId="4" xfId="0" applyFont="1" applyFill="1" applyBorder="1" applyAlignment="1">
      <alignment horizontal="center" vertical="top"/>
    </xf>
    <xf numFmtId="0" fontId="1" fillId="2" borderId="5" xfId="0" applyFont="1" applyFill="1" applyBorder="1" applyAlignment="1">
      <alignment horizontal="center" vertical="top"/>
    </xf>
    <xf numFmtId="0" fontId="5" fillId="4" borderId="4" xfId="0" applyFont="1" applyFill="1" applyBorder="1" applyAlignment="1">
      <alignment horizontal="left" vertical="top"/>
    </xf>
    <xf numFmtId="0" fontId="5" fillId="4" borderId="4" xfId="0" applyFont="1" applyFill="1" applyBorder="1" applyAlignment="1">
      <alignment horizontal="center" vertical="top"/>
    </xf>
    <xf numFmtId="0" fontId="5" fillId="4" borderId="4" xfId="0" applyFont="1" applyFill="1" applyBorder="1" applyAlignment="1">
      <alignment vertical="top"/>
    </xf>
    <xf numFmtId="43" fontId="5" fillId="4" borderId="4" xfId="1" applyFont="1" applyFill="1" applyBorder="1" applyAlignment="1">
      <alignment horizontal="center" vertical="top"/>
    </xf>
    <xf numFmtId="43" fontId="1" fillId="2" borderId="4" xfId="1" applyFont="1" applyFill="1" applyBorder="1" applyAlignment="1">
      <alignment horizontal="center" vertical="top"/>
    </xf>
    <xf numFmtId="43" fontId="0" fillId="0" borderId="0" xfId="1" applyFont="1"/>
    <xf numFmtId="0" fontId="5" fillId="4" borderId="5" xfId="0" applyFont="1" applyFill="1" applyBorder="1" applyAlignment="1">
      <alignment horizontal="left" vertical="top"/>
    </xf>
    <xf numFmtId="43" fontId="5" fillId="4" borderId="4" xfId="0" applyNumberFormat="1" applyFont="1" applyFill="1" applyBorder="1" applyAlignment="1">
      <alignment horizontal="center" vertical="top"/>
    </xf>
    <xf numFmtId="0" fontId="6" fillId="0" borderId="0" xfId="0" applyFont="1"/>
    <xf numFmtId="14" fontId="0" fillId="0" borderId="0" xfId="0" applyNumberFormat="1"/>
    <xf numFmtId="14" fontId="5" fillId="4" borderId="3" xfId="0" applyNumberFormat="1" applyFont="1" applyFill="1" applyBorder="1" applyAlignment="1">
      <alignment horizontal="center" vertical="top"/>
    </xf>
    <xf numFmtId="0" fontId="0" fillId="0" borderId="0" xfId="0" pivotButton="1"/>
    <xf numFmtId="0" fontId="0" fillId="0" borderId="0" xfId="0" applyAlignment="1">
      <alignment horizontal="left"/>
    </xf>
    <xf numFmtId="43" fontId="0" fillId="0" borderId="0" xfId="0" applyNumberFormat="1"/>
    <xf numFmtId="0" fontId="7" fillId="0" borderId="0" xfId="0" applyFont="1"/>
    <xf numFmtId="164" fontId="0" fillId="0" borderId="0" xfId="0" applyNumberFormat="1"/>
    <xf numFmtId="10" fontId="0" fillId="0" borderId="0" xfId="0" applyNumberFormat="1"/>
    <xf numFmtId="0" fontId="0" fillId="0" borderId="0" xfId="0" applyAlignment="1">
      <alignment horizontal="left" indent="1"/>
    </xf>
    <xf numFmtId="0" fontId="0" fillId="0" borderId="0" xfId="0" applyAlignment="1">
      <alignment horizontal="right"/>
    </xf>
    <xf numFmtId="165" fontId="0" fillId="0" borderId="0" xfId="0" applyNumberFormat="1"/>
    <xf numFmtId="0" fontId="5" fillId="4" borderId="3" xfId="0" applyFont="1" applyFill="1" applyBorder="1" applyAlignment="1">
      <alignment horizontal="center" vertical="top"/>
    </xf>
    <xf numFmtId="14" fontId="5" fillId="4" borderId="7" xfId="0" applyNumberFormat="1" applyFont="1" applyFill="1" applyBorder="1" applyAlignment="1">
      <alignment horizontal="center" vertical="top"/>
    </xf>
    <xf numFmtId="43" fontId="7" fillId="5" borderId="6" xfId="1" applyFont="1" applyFill="1" applyBorder="1"/>
    <xf numFmtId="0" fontId="7" fillId="0" borderId="0" xfId="0" applyFont="1" applyAlignment="1">
      <alignment horizontal="center"/>
    </xf>
    <xf numFmtId="0" fontId="0" fillId="0" borderId="0" xfId="0" applyNumberFormat="1"/>
  </cellXfs>
  <cellStyles count="2">
    <cellStyle name="Comma" xfId="1" builtinId="3"/>
    <cellStyle name="Normal" xfId="0" builtinId="0"/>
  </cellStyles>
  <dxfs count="130">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4" formatCode="0.00%"/>
    </dxf>
    <dxf>
      <numFmt numFmtId="35" formatCode="_-* #,##0.00_-;\-* #,##0.00_-;_-* &quot;-&quot;??_-;_-@_-"/>
    </dxf>
    <dxf>
      <alignment horizontal="right"/>
    </dxf>
    <dxf>
      <numFmt numFmtId="164" formatCode="_-* #,##0_-;\-* #,##0_-;_-* &quot;-&quot;??_-;_-@_-"/>
    </dxf>
    <dxf>
      <numFmt numFmtId="165" formatCode="#,###.00,,&quot;m&quot;"/>
    </dxf>
    <dxf>
      <numFmt numFmtId="165" formatCode="#,###.00,,&quot;m&quot;"/>
    </dxf>
    <dxf>
      <numFmt numFmtId="164" formatCode="_-* #,##0_-;\-* #,##0_-;_-* &quot;-&quot;??_-;_-@_-"/>
    </dxf>
    <dxf>
      <numFmt numFmtId="165" formatCode="#,###.00,,&quot;m&quot;"/>
    </dxf>
    <dxf>
      <numFmt numFmtId="164" formatCode="_-* #,##0_-;\-* #,##0_-;_-* &quot;-&quot;??_-;_-@_-"/>
    </dxf>
    <dxf>
      <numFmt numFmtId="165" formatCode="#,###.00,,&quot;m&quot;"/>
    </dxf>
    <dxf>
      <numFmt numFmtId="165" formatCode="#,###.00,,&quot;m&quot;"/>
    </dxf>
    <dxf>
      <alignment horizontal="right"/>
    </dxf>
    <dxf>
      <numFmt numFmtId="35" formatCode="_-* #,##0.00_-;\-* #,##0.00_-;_-* &quot;-&quot;??_-;_-@_-"/>
    </dxf>
    <dxf>
      <numFmt numFmtId="14" formatCode="0.00%"/>
    </dxf>
    <dxf>
      <numFmt numFmtId="164" formatCode="_-* #,##0_-;\-* #,##0_-;_-* &quot;-&quot;??_-;_-@_-"/>
    </dxf>
    <dxf>
      <numFmt numFmtId="164" formatCode="_-* #,##0_-;\-* #,##0_-;_-* &quot;-&quot;??_-;_-@_-"/>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style="thin">
          <color auto="1"/>
        </left>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auto="1"/>
        </left>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35" formatCode="_-* #,##0.00_-;\-* #,##0.00_-;_-* &quot;-&quot;??_-;_-@_-"/>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35" formatCode="_-* #,##0.00_-;\-* #,##0.00_-;_-* &quot;-&quot;??_-;_-@_-"/>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general"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general"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left"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outline="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left style="thin">
          <color auto="1"/>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0" formatCode="General"/>
      <fill>
        <patternFill patternType="solid">
          <fgColor indexed="64"/>
          <bgColor theme="0"/>
        </patternFill>
      </fill>
      <alignment horizontal="center" vertical="top" textRotation="0" wrapText="0" indent="0" justifyLastLine="0" shrinkToFit="0" readingOrder="0"/>
      <border diagonalUp="0" diagonalDown="0">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left/>
        <right style="thin">
          <color auto="1"/>
        </right>
        <top style="thin">
          <color auto="1"/>
        </top>
        <bottom/>
        <vertical/>
        <horizontal/>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outline="0">
        <left/>
        <right style="thin">
          <color auto="1"/>
        </right>
        <top style="thin">
          <color auto="1"/>
        </top>
        <bottom/>
      </border>
    </dxf>
    <dxf>
      <font>
        <b val="0"/>
        <i val="0"/>
        <strike val="0"/>
        <condense val="0"/>
        <extend val="0"/>
        <outline val="0"/>
        <shadow val="0"/>
        <u val="none"/>
        <vertAlign val="baseline"/>
        <sz val="11"/>
        <color auto="1"/>
        <name val="Calibri"/>
        <family val="2"/>
        <scheme val="none"/>
      </font>
      <numFmt numFmtId="19" formatCode="dd/mm/yyyy"/>
      <fill>
        <patternFill patternType="solid">
          <fgColor indexed="64"/>
          <bgColor theme="0"/>
        </patternFill>
      </fill>
      <alignment horizontal="center" vertical="top" textRotation="0" wrapText="0" indent="0" justifyLastLine="0" shrinkToFit="0" readingOrder="0"/>
      <border diagonalUp="0" diagonalDown="0">
        <left/>
        <right style="thin">
          <color auto="1"/>
        </right>
        <top style="thin">
          <color auto="1"/>
        </top>
        <bottom/>
      </border>
    </dxf>
    <dxf>
      <border outline="0">
        <top style="thin">
          <color auto="1"/>
        </top>
      </border>
    </dxf>
    <dxf>
      <border outline="0">
        <left style="thin">
          <color auto="1"/>
        </left>
        <right style="thin">
          <color auto="1"/>
        </right>
        <top style="thin">
          <color auto="1"/>
        </top>
        <bottom style="thin">
          <color auto="1"/>
        </bottom>
      </border>
    </dxf>
    <dxf>
      <font>
        <b val="0"/>
        <i val="0"/>
        <strike val="0"/>
        <condense val="0"/>
        <extend val="0"/>
        <outline val="0"/>
        <shadow val="0"/>
        <u val="none"/>
        <vertAlign val="baseline"/>
        <sz val="11"/>
        <color auto="1"/>
        <name val="Calibri"/>
        <family val="2"/>
        <scheme val="none"/>
      </font>
      <fill>
        <patternFill patternType="solid">
          <fgColor indexed="64"/>
          <bgColor theme="0"/>
        </patternFill>
      </fill>
      <alignment horizontal="center" vertical="top" textRotation="0" wrapText="0" indent="0" justifyLastLine="0" shrinkToFit="0" readingOrder="0"/>
    </dxf>
    <dxf>
      <border outline="0">
        <bottom style="thin">
          <color auto="1"/>
        </bottom>
      </border>
    </dxf>
    <dxf>
      <font>
        <b/>
        <i val="0"/>
        <strike val="0"/>
        <condense val="0"/>
        <extend val="0"/>
        <outline val="0"/>
        <shadow val="0"/>
        <u val="none"/>
        <vertAlign val="baseline"/>
        <sz val="11"/>
        <color theme="0"/>
        <name val="Calibri"/>
        <family val="2"/>
        <scheme val="none"/>
      </font>
      <fill>
        <patternFill patternType="solid">
          <fgColor indexed="64"/>
          <bgColor rgb="FF002060"/>
        </patternFill>
      </fill>
      <alignment horizontal="center" vertical="top" textRotation="0" wrapText="0" indent="0" justifyLastLine="0" shrinkToFit="0" readingOrder="0"/>
      <border diagonalUp="0" diagonalDown="0" outline="0">
        <left style="thin">
          <color auto="1"/>
        </left>
        <right style="thin">
          <color auto="1"/>
        </right>
        <top/>
        <bottom/>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eetMetadata" Target="metadata.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Table!PivotTable1</c:name>
    <c:fmtId val="3"/>
  </c:pivotSource>
  <c:chart>
    <c:title>
      <c:tx>
        <c:rich>
          <a:bodyPr rot="0" spcFirstLastPara="1" vertOverflow="ellipsis" vert="horz" wrap="square" anchor="ctr" anchorCtr="1"/>
          <a:lstStyle/>
          <a:p>
            <a:pPr>
              <a:defRPr sz="1000" b="1" i="0" u="none" strike="noStrike" kern="1200" cap="all" spc="100" normalizeH="0" baseline="0">
                <a:solidFill>
                  <a:schemeClr val="lt1"/>
                </a:solidFill>
                <a:latin typeface="+mn-lt"/>
                <a:ea typeface="+mn-ea"/>
                <a:cs typeface="+mn-cs"/>
              </a:defRPr>
            </a:pPr>
            <a:r>
              <a:rPr lang="en-US" sz="1000"/>
              <a:t>TOTAL SALES BY REGION</a:t>
            </a:r>
          </a:p>
        </c:rich>
      </c:tx>
      <c:layout>
        <c:manualLayout>
          <c:xMode val="edge"/>
          <c:yMode val="edge"/>
          <c:x val="0.16436656202288444"/>
          <c:y val="4.9977557356905664E-2"/>
        </c:manualLayout>
      </c:layout>
      <c:overlay val="0"/>
      <c:spPr>
        <a:noFill/>
        <a:ln>
          <a:noFill/>
        </a:ln>
        <a:effectLst/>
      </c:spPr>
      <c:txPr>
        <a:bodyPr rot="0" spcFirstLastPara="1" vertOverflow="ellipsis" vert="horz" wrap="square" anchor="ctr" anchorCtr="1"/>
        <a:lstStyle/>
        <a:p>
          <a:pPr>
            <a:defRPr sz="1000" b="1" i="0" u="none" strike="noStrike" kern="1200" cap="all" spc="100" normalizeH="0" baseline="0">
              <a:solidFill>
                <a:schemeClr val="lt1"/>
              </a:solidFill>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pivotFmt>
      <c:pivotFmt>
        <c:idx val="4"/>
        <c:spPr>
          <a:pattFill prst="ltUpDiag">
            <a:fgClr>
              <a:schemeClr val="accent1"/>
            </a:fgClr>
            <a:bgClr>
              <a:schemeClr val="lt1"/>
            </a:bgClr>
          </a:pattFill>
          <a:ln>
            <a:noFill/>
          </a:ln>
          <a:effectLst/>
        </c:spPr>
        <c:marker>
          <c:symbol val="none"/>
        </c:marker>
        <c:dLbl>
          <c:idx val="0"/>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pattFill prst="ltUpDiag">
            <a:fgClr>
              <a:schemeClr val="accent1"/>
            </a:fgClr>
            <a:bgClr>
              <a:schemeClr val="lt1"/>
            </a:bgClr>
          </a:pattFill>
          <a:ln>
            <a:noFill/>
          </a:ln>
          <a:effectLst/>
        </c:spPr>
      </c:pivotFmt>
    </c:pivotFmts>
    <c:plotArea>
      <c:layout/>
      <c:barChart>
        <c:barDir val="col"/>
        <c:grouping val="clustered"/>
        <c:varyColors val="0"/>
        <c:ser>
          <c:idx val="0"/>
          <c:order val="0"/>
          <c:tx>
            <c:strRef>
              <c:f>'Pivot Table'!$B$3</c:f>
              <c:strCache>
                <c:ptCount val="1"/>
                <c:pt idx="0">
                  <c:v>Total</c:v>
                </c:pt>
              </c:strCache>
            </c:strRef>
          </c:tx>
          <c:spPr>
            <a:pattFill prst="ltUpDiag">
              <a:fgClr>
                <a:schemeClr val="accent1"/>
              </a:fgClr>
              <a:bgClr>
                <a:schemeClr val="lt1"/>
              </a:bgClr>
            </a:pattFill>
            <a:ln>
              <a:noFill/>
            </a:ln>
            <a:effectLst/>
          </c:spPr>
          <c:invertIfNegative val="0"/>
          <c:dPt>
            <c:idx val="3"/>
            <c:invertIfNegative val="0"/>
            <c:bubble3D val="0"/>
            <c:extLst>
              <c:ext xmlns:c16="http://schemas.microsoft.com/office/drawing/2014/chart" uri="{C3380CC4-5D6E-409C-BE32-E72D297353CC}">
                <c16:uniqueId val="{00000001-4A60-4355-B871-A21EA172FA12}"/>
              </c:ext>
            </c:extLst>
          </c:dPt>
          <c:dLbls>
            <c:spPr>
              <a:solidFill>
                <a:srgbClr val="4F81BD">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Table'!$A$4:$A$8</c:f>
              <c:strCache>
                <c:ptCount val="4"/>
                <c:pt idx="0">
                  <c:v>East</c:v>
                </c:pt>
                <c:pt idx="1">
                  <c:v>North</c:v>
                </c:pt>
                <c:pt idx="2">
                  <c:v>South</c:v>
                </c:pt>
                <c:pt idx="3">
                  <c:v>West</c:v>
                </c:pt>
              </c:strCache>
            </c:strRef>
          </c:cat>
          <c:val>
            <c:numRef>
              <c:f>'Pivot Table'!$B$4:$B$8</c:f>
              <c:numCache>
                <c:formatCode>#,###.00,,"m"</c:formatCode>
                <c:ptCount val="4"/>
                <c:pt idx="0">
                  <c:v>79518498</c:v>
                </c:pt>
                <c:pt idx="1">
                  <c:v>39490000</c:v>
                </c:pt>
                <c:pt idx="2">
                  <c:v>68129460</c:v>
                </c:pt>
                <c:pt idx="3">
                  <c:v>115542487</c:v>
                </c:pt>
              </c:numCache>
            </c:numRef>
          </c:val>
          <c:extLst>
            <c:ext xmlns:c16="http://schemas.microsoft.com/office/drawing/2014/chart" uri="{C3380CC4-5D6E-409C-BE32-E72D297353CC}">
              <c16:uniqueId val="{00000002-4A60-4355-B871-A21EA172FA12}"/>
            </c:ext>
          </c:extLst>
        </c:ser>
        <c:dLbls>
          <c:dLblPos val="outEnd"/>
          <c:showLegendKey val="0"/>
          <c:showVal val="1"/>
          <c:showCatName val="0"/>
          <c:showSerName val="0"/>
          <c:showPercent val="0"/>
          <c:showBubbleSize val="0"/>
        </c:dLbls>
        <c:gapWidth val="269"/>
        <c:overlap val="-20"/>
        <c:axId val="1867115456"/>
        <c:axId val="1867112576"/>
      </c:barChart>
      <c:catAx>
        <c:axId val="1867115456"/>
        <c:scaling>
          <c:orientation val="minMax"/>
        </c:scaling>
        <c:delete val="0"/>
        <c:axPos val="b"/>
        <c:numFmt formatCode="General" sourceLinked="1"/>
        <c:majorTickMark val="none"/>
        <c:minorTickMark val="none"/>
        <c:tickLblPos val="nextTo"/>
        <c:spPr>
          <a:solidFill>
            <a:schemeClr val="accent3">
              <a:lumMod val="75000"/>
            </a:schemeClr>
          </a:solidFill>
          <a:ln w="3175" cap="flat" cmpd="sng" algn="ctr">
            <a:solidFill>
              <a:schemeClr val="accent1">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867112576"/>
        <c:crosses val="autoZero"/>
        <c:auto val="1"/>
        <c:lblAlgn val="ctr"/>
        <c:lblOffset val="100"/>
        <c:noMultiLvlLbl val="0"/>
      </c:catAx>
      <c:valAx>
        <c:axId val="1867112576"/>
        <c:scaling>
          <c:orientation val="minMax"/>
        </c:scaling>
        <c:delete val="1"/>
        <c:axPos val="l"/>
        <c:numFmt formatCode="#,###.00,,&quot;m&quot;" sourceLinked="1"/>
        <c:majorTickMark val="none"/>
        <c:minorTickMark val="none"/>
        <c:tickLblPos val="nextTo"/>
        <c:crossAx val="1867115456"/>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Table!PivotTable3</c:name>
    <c:fmtId val="2"/>
  </c:pivotSource>
  <c:chart>
    <c:title>
      <c:tx>
        <c:rich>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r>
              <a:rPr lang="en-US" sz="1000" b="1">
                <a:solidFill>
                  <a:schemeClr val="accent3">
                    <a:lumMod val="50000"/>
                  </a:schemeClr>
                </a:solidFill>
              </a:rPr>
              <a:t>BEST SELLING PRODUCT</a:t>
            </a:r>
          </a:p>
        </c:rich>
      </c:tx>
      <c:layout>
        <c:manualLayout>
          <c:xMode val="edge"/>
          <c:yMode val="edge"/>
          <c:x val="0.22820318801613212"/>
          <c:y val="4.7735658042744655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9247594050743664E-2"/>
          <c:y val="0.27717373869932921"/>
          <c:w val="0.77378937007874016"/>
          <c:h val="0.40059456109652958"/>
        </c:manualLayout>
      </c:layout>
      <c:barChart>
        <c:barDir val="col"/>
        <c:grouping val="clustered"/>
        <c:varyColors val="0"/>
        <c:ser>
          <c:idx val="0"/>
          <c:order val="0"/>
          <c:tx>
            <c:strRef>
              <c:f>'Pivot Table'!$E$3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Table'!$D$4:$D$13</c:f>
              <c:strCache>
                <c:ptCount val="9"/>
                <c:pt idx="0">
                  <c:v>Tablett8</c:v>
                </c:pt>
                <c:pt idx="1">
                  <c:v>Tv43Q</c:v>
                </c:pt>
                <c:pt idx="2">
                  <c:v>Laptopa15</c:v>
                </c:pt>
                <c:pt idx="3">
                  <c:v>Monitorm24</c:v>
                </c:pt>
                <c:pt idx="4">
                  <c:v>Camerac100</c:v>
                </c:pt>
                <c:pt idx="5">
                  <c:v>Speakers10</c:v>
                </c:pt>
                <c:pt idx="6">
                  <c:v>Phonex12</c:v>
                </c:pt>
                <c:pt idx="7">
                  <c:v>Camerac010</c:v>
                </c:pt>
                <c:pt idx="8">
                  <c:v>Unknown</c:v>
                </c:pt>
              </c:strCache>
            </c:strRef>
          </c:cat>
          <c:val>
            <c:numRef>
              <c:f>'Pivot Table'!$E$4:$E$13</c:f>
              <c:numCache>
                <c:formatCode>General</c:formatCode>
                <c:ptCount val="9"/>
                <c:pt idx="0">
                  <c:v>226</c:v>
                </c:pt>
                <c:pt idx="1">
                  <c:v>215</c:v>
                </c:pt>
                <c:pt idx="2">
                  <c:v>191</c:v>
                </c:pt>
                <c:pt idx="3">
                  <c:v>166</c:v>
                </c:pt>
                <c:pt idx="4">
                  <c:v>134</c:v>
                </c:pt>
                <c:pt idx="5">
                  <c:v>105</c:v>
                </c:pt>
                <c:pt idx="6">
                  <c:v>82</c:v>
                </c:pt>
                <c:pt idx="7">
                  <c:v>12</c:v>
                </c:pt>
                <c:pt idx="8">
                  <c:v>10</c:v>
                </c:pt>
              </c:numCache>
            </c:numRef>
          </c:val>
          <c:extLst>
            <c:ext xmlns:c16="http://schemas.microsoft.com/office/drawing/2014/chart" uri="{C3380CC4-5D6E-409C-BE32-E72D297353CC}">
              <c16:uniqueId val="{00000000-3640-4788-B644-6F675C457D89}"/>
            </c:ext>
          </c:extLst>
        </c:ser>
        <c:dLbls>
          <c:dLblPos val="outEnd"/>
          <c:showLegendKey val="0"/>
          <c:showVal val="1"/>
          <c:showCatName val="0"/>
          <c:showSerName val="0"/>
          <c:showPercent val="0"/>
          <c:showBubbleSize val="0"/>
        </c:dLbls>
        <c:gapWidth val="219"/>
        <c:axId val="1857977983"/>
        <c:axId val="1735106335"/>
      </c:barChart>
      <c:catAx>
        <c:axId val="18579779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35106335"/>
        <c:crosses val="autoZero"/>
        <c:auto val="1"/>
        <c:lblAlgn val="ctr"/>
        <c:lblOffset val="100"/>
        <c:noMultiLvlLbl val="0"/>
      </c:catAx>
      <c:valAx>
        <c:axId val="1735106335"/>
        <c:scaling>
          <c:orientation val="minMax"/>
        </c:scaling>
        <c:delete val="1"/>
        <c:axPos val="l"/>
        <c:numFmt formatCode="General" sourceLinked="1"/>
        <c:majorTickMark val="none"/>
        <c:minorTickMark val="none"/>
        <c:tickLblPos val="nextTo"/>
        <c:crossAx val="18579779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Table!PivotTable4</c:name>
    <c:fmtId val="2"/>
  </c:pivotSource>
  <c:chart>
    <c:title>
      <c:tx>
        <c:rich>
          <a:bodyPr rot="0" spcFirstLastPara="1" vertOverflow="ellipsis" vert="horz" wrap="square" anchor="ctr" anchorCtr="1"/>
          <a:lstStyle/>
          <a:p>
            <a:pPr algn="ctr">
              <a:defRPr sz="1000" b="0" i="0" u="none" strike="noStrike" kern="1200" spc="0" baseline="0">
                <a:solidFill>
                  <a:schemeClr val="tx1">
                    <a:lumMod val="65000"/>
                    <a:lumOff val="35000"/>
                  </a:schemeClr>
                </a:solidFill>
                <a:latin typeface="+mn-lt"/>
                <a:ea typeface="+mn-ea"/>
                <a:cs typeface="+mn-cs"/>
              </a:defRPr>
            </a:pPr>
            <a:r>
              <a:rPr lang="en-US" sz="1000" b="1">
                <a:solidFill>
                  <a:schemeClr val="bg1"/>
                </a:solidFill>
              </a:rPr>
              <a:t>SALES PERFORMANCE BY SALES REP</a:t>
            </a:r>
          </a:p>
        </c:rich>
      </c:tx>
      <c:layout>
        <c:manualLayout>
          <c:xMode val="edge"/>
          <c:yMode val="edge"/>
          <c:x val="0.20670667380169711"/>
          <c:y val="3.6680627687496511E-2"/>
        </c:manualLayout>
      </c:layout>
      <c:overlay val="0"/>
      <c:spPr>
        <a:noFill/>
        <a:ln>
          <a:noFill/>
        </a:ln>
        <a:effectLst/>
      </c:spPr>
      <c:txPr>
        <a:bodyPr rot="0" spcFirstLastPara="1" vertOverflow="ellipsis" vert="horz" wrap="square" anchor="ctr" anchorCtr="1"/>
        <a:lstStyle/>
        <a:p>
          <a:pPr algn="ctr">
            <a:defRPr sz="10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bg1"/>
            </a:solidFill>
            <a:round/>
          </a:ln>
          <a:effectLst/>
        </c:spPr>
        <c:marker>
          <c:symbol val="circle"/>
          <c:size val="5"/>
          <c:spPr>
            <a:solidFill>
              <a:sysClr val="window" lastClr="FFFFFF"/>
            </a:solidFill>
            <a:ln w="9525">
              <a:noFill/>
            </a:ln>
            <a:effectLst/>
          </c:spPr>
        </c:marker>
        <c:dLbl>
          <c:idx val="0"/>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Table'!$H$3</c:f>
              <c:strCache>
                <c:ptCount val="1"/>
                <c:pt idx="0">
                  <c:v>Total</c:v>
                </c:pt>
              </c:strCache>
            </c:strRef>
          </c:tx>
          <c:spPr>
            <a:ln w="28575" cap="rnd">
              <a:solidFill>
                <a:schemeClr val="bg1"/>
              </a:solidFill>
              <a:round/>
            </a:ln>
            <a:effectLst/>
          </c:spPr>
          <c:marker>
            <c:symbol val="circle"/>
            <c:size val="5"/>
            <c:spPr>
              <a:solidFill>
                <a:sysClr val="window" lastClr="FFFFFF"/>
              </a:solidFill>
              <a:ln w="9525">
                <a:noFill/>
              </a:ln>
              <a:effectLst/>
            </c:spPr>
          </c:marker>
          <c:dLbls>
            <c:spPr>
              <a:noFill/>
              <a:ln>
                <a:noFill/>
              </a:ln>
              <a:effectLst/>
            </c:spPr>
            <c:txPr>
              <a:bodyPr rot="-5400000" spcFirstLastPara="1" vertOverflow="ellipsis"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Table'!$G$4:$G$14</c:f>
              <c:strCache>
                <c:ptCount val="10"/>
                <c:pt idx="0">
                  <c:v>PETEROBI</c:v>
                </c:pt>
                <c:pt idx="1">
                  <c:v>FOLABALOGUN</c:v>
                </c:pt>
                <c:pt idx="2">
                  <c:v>GRACEAMOS</c:v>
                </c:pt>
                <c:pt idx="3">
                  <c:v>CHINEDUNWOSU</c:v>
                </c:pt>
                <c:pt idx="4">
                  <c:v>IFEANYIOKAFOR</c:v>
                </c:pt>
                <c:pt idx="5">
                  <c:v>MARYJOHN</c:v>
                </c:pt>
                <c:pt idx="6">
                  <c:v>AISHABELLO</c:v>
                </c:pt>
                <c:pt idx="7">
                  <c:v>JOBAUSTIN</c:v>
                </c:pt>
                <c:pt idx="8">
                  <c:v>PRAISEODUNAYO</c:v>
                </c:pt>
                <c:pt idx="9">
                  <c:v>ABAJOEL</c:v>
                </c:pt>
              </c:strCache>
            </c:strRef>
          </c:cat>
          <c:val>
            <c:numRef>
              <c:f>'Pivot Table'!$H$4:$H$14</c:f>
              <c:numCache>
                <c:formatCode>#,###.00,,"m"</c:formatCode>
                <c:ptCount val="10"/>
                <c:pt idx="0">
                  <c:v>87790000</c:v>
                </c:pt>
                <c:pt idx="1">
                  <c:v>58707487</c:v>
                </c:pt>
                <c:pt idx="2">
                  <c:v>42610000</c:v>
                </c:pt>
                <c:pt idx="3">
                  <c:v>36226885</c:v>
                </c:pt>
                <c:pt idx="4">
                  <c:v>28986113</c:v>
                </c:pt>
                <c:pt idx="5">
                  <c:v>20919960</c:v>
                </c:pt>
                <c:pt idx="6">
                  <c:v>18690000</c:v>
                </c:pt>
                <c:pt idx="7">
                  <c:v>5250000</c:v>
                </c:pt>
                <c:pt idx="8">
                  <c:v>2850000</c:v>
                </c:pt>
                <c:pt idx="9">
                  <c:v>650000</c:v>
                </c:pt>
              </c:numCache>
            </c:numRef>
          </c:val>
          <c:smooth val="0"/>
          <c:extLst>
            <c:ext xmlns:c16="http://schemas.microsoft.com/office/drawing/2014/chart" uri="{C3380CC4-5D6E-409C-BE32-E72D297353CC}">
              <c16:uniqueId val="{00000000-30F3-4663-A05B-97E372EC24A5}"/>
            </c:ext>
          </c:extLst>
        </c:ser>
        <c:dLbls>
          <c:dLblPos val="t"/>
          <c:showLegendKey val="0"/>
          <c:showVal val="1"/>
          <c:showCatName val="0"/>
          <c:showSerName val="0"/>
          <c:showPercent val="0"/>
          <c:showBubbleSize val="0"/>
        </c:dLbls>
        <c:marker val="1"/>
        <c:smooth val="0"/>
        <c:axId val="1869920399"/>
        <c:axId val="1669089055"/>
      </c:lineChart>
      <c:catAx>
        <c:axId val="18699203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en-US"/>
          </a:p>
        </c:txPr>
        <c:crossAx val="1669089055"/>
        <c:crosses val="autoZero"/>
        <c:auto val="1"/>
        <c:lblAlgn val="ctr"/>
        <c:lblOffset val="100"/>
        <c:noMultiLvlLbl val="0"/>
      </c:catAx>
      <c:valAx>
        <c:axId val="1669089055"/>
        <c:scaling>
          <c:orientation val="minMax"/>
        </c:scaling>
        <c:delete val="1"/>
        <c:axPos val="l"/>
        <c:numFmt formatCode="#,###.00,,&quot;m&quot;" sourceLinked="1"/>
        <c:majorTickMark val="none"/>
        <c:minorTickMark val="none"/>
        <c:tickLblPos val="nextTo"/>
        <c:crossAx val="1869920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bg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Table!PivotTable5</c:name>
    <c:fmtId val="2"/>
  </c:pivotSource>
  <c:chart>
    <c:title>
      <c:tx>
        <c:rich>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r>
              <a:rPr lang="en-US" sz="1000" b="1">
                <a:solidFill>
                  <a:schemeClr val="accent3">
                    <a:lumMod val="50000"/>
                  </a:schemeClr>
                </a:solidFill>
              </a:rPr>
              <a:t>SALES BY CATEGORY</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
        <c:idx val="13"/>
        <c:spPr>
          <a:solidFill>
            <a:schemeClr val="accent1"/>
          </a:solidFill>
          <a:ln>
            <a:noFill/>
          </a:ln>
          <a:effectLst/>
        </c:spPr>
      </c:pivotFmt>
      <c:pivotFmt>
        <c:idx val="14"/>
        <c:spPr>
          <a:solidFill>
            <a:schemeClr val="accent1"/>
          </a:solidFill>
          <a:ln>
            <a:noFill/>
          </a:ln>
          <a:effectLst/>
        </c:spPr>
      </c:pivotFmt>
    </c:pivotFmts>
    <c:plotArea>
      <c:layout/>
      <c:doughnutChart>
        <c:varyColors val="1"/>
        <c:ser>
          <c:idx val="0"/>
          <c:order val="0"/>
          <c:tx>
            <c:strRef>
              <c:f>'Pivot Table'!$K$3</c:f>
              <c:strCache>
                <c:ptCount val="1"/>
                <c:pt idx="0">
                  <c:v>Total</c:v>
                </c:pt>
              </c:strCache>
            </c:strRef>
          </c:tx>
          <c:dPt>
            <c:idx val="0"/>
            <c:bubble3D val="0"/>
            <c:spPr>
              <a:solidFill>
                <a:schemeClr val="accent1"/>
              </a:solidFill>
              <a:ln>
                <a:noFill/>
              </a:ln>
              <a:effectLst/>
            </c:spPr>
            <c:extLst>
              <c:ext xmlns:c16="http://schemas.microsoft.com/office/drawing/2014/chart" uri="{C3380CC4-5D6E-409C-BE32-E72D297353CC}">
                <c16:uniqueId val="{00000001-0AE4-4800-99EC-617C02CF684A}"/>
              </c:ext>
            </c:extLst>
          </c:dPt>
          <c:dPt>
            <c:idx val="1"/>
            <c:bubble3D val="0"/>
            <c:spPr>
              <a:solidFill>
                <a:schemeClr val="accent2"/>
              </a:solidFill>
              <a:ln>
                <a:noFill/>
              </a:ln>
              <a:effectLst/>
            </c:spPr>
            <c:extLst>
              <c:ext xmlns:c16="http://schemas.microsoft.com/office/drawing/2014/chart" uri="{C3380CC4-5D6E-409C-BE32-E72D297353CC}">
                <c16:uniqueId val="{00000003-0AE4-4800-99EC-617C02CF684A}"/>
              </c:ext>
            </c:extLst>
          </c:dPt>
          <c:dPt>
            <c:idx val="2"/>
            <c:bubble3D val="0"/>
            <c:spPr>
              <a:solidFill>
                <a:schemeClr val="accent3"/>
              </a:solidFill>
              <a:ln>
                <a:noFill/>
              </a:ln>
              <a:effectLst/>
            </c:spPr>
            <c:extLst>
              <c:ext xmlns:c16="http://schemas.microsoft.com/office/drawing/2014/chart" uri="{C3380CC4-5D6E-409C-BE32-E72D297353CC}">
                <c16:uniqueId val="{00000005-0AE4-4800-99EC-617C02CF684A}"/>
              </c:ext>
            </c:extLst>
          </c:dPt>
          <c:dPt>
            <c:idx val="3"/>
            <c:bubble3D val="0"/>
            <c:spPr>
              <a:solidFill>
                <a:schemeClr val="accent4"/>
              </a:solidFill>
              <a:ln>
                <a:noFill/>
              </a:ln>
              <a:effectLst/>
            </c:spPr>
            <c:extLst>
              <c:ext xmlns:c16="http://schemas.microsoft.com/office/drawing/2014/chart" uri="{C3380CC4-5D6E-409C-BE32-E72D297353CC}">
                <c16:uniqueId val="{00000007-0AE4-4800-99EC-617C02CF684A}"/>
              </c:ext>
            </c:extLst>
          </c:dPt>
          <c:dPt>
            <c:idx val="4"/>
            <c:bubble3D val="0"/>
            <c:spPr>
              <a:solidFill>
                <a:schemeClr val="accent5"/>
              </a:solidFill>
              <a:ln>
                <a:noFill/>
              </a:ln>
              <a:effectLst/>
            </c:spPr>
            <c:extLst>
              <c:ext xmlns:c16="http://schemas.microsoft.com/office/drawing/2014/chart" uri="{C3380CC4-5D6E-409C-BE32-E72D297353CC}">
                <c16:uniqueId val="{00000009-0AE4-4800-99EC-617C02CF684A}"/>
              </c:ext>
            </c:extLst>
          </c:dPt>
          <c:dPt>
            <c:idx val="5"/>
            <c:bubble3D val="0"/>
            <c:spPr>
              <a:solidFill>
                <a:schemeClr val="accent6"/>
              </a:solidFill>
              <a:ln>
                <a:noFill/>
              </a:ln>
              <a:effectLst/>
            </c:spPr>
            <c:extLst>
              <c:ext xmlns:c16="http://schemas.microsoft.com/office/drawing/2014/chart" uri="{C3380CC4-5D6E-409C-BE32-E72D297353CC}">
                <c16:uniqueId val="{0000000B-0AE4-4800-99EC-617C02CF684A}"/>
              </c:ext>
            </c:extLst>
          </c:dPt>
          <c:cat>
            <c:strRef>
              <c:f>'Pivot Table'!$J$4:$J$10</c:f>
              <c:strCache>
                <c:ptCount val="6"/>
                <c:pt idx="0">
                  <c:v>Audio</c:v>
                </c:pt>
                <c:pt idx="1">
                  <c:v>Computers</c:v>
                </c:pt>
                <c:pt idx="2">
                  <c:v>Electronics</c:v>
                </c:pt>
                <c:pt idx="3">
                  <c:v>Mobile</c:v>
                </c:pt>
                <c:pt idx="4">
                  <c:v>Peripherals</c:v>
                </c:pt>
                <c:pt idx="5">
                  <c:v>Photography</c:v>
                </c:pt>
              </c:strCache>
            </c:strRef>
          </c:cat>
          <c:val>
            <c:numRef>
              <c:f>'Pivot Table'!$K$4:$K$10</c:f>
              <c:numCache>
                <c:formatCode>_(* #,##0.00_);_(* \(#,##0.00\);_(* "-"??_);_(@_)</c:formatCode>
                <c:ptCount val="6"/>
                <c:pt idx="0">
                  <c:v>8954631</c:v>
                </c:pt>
                <c:pt idx="1">
                  <c:v>134375000</c:v>
                </c:pt>
                <c:pt idx="2">
                  <c:v>63689500</c:v>
                </c:pt>
                <c:pt idx="3">
                  <c:v>48231113</c:v>
                </c:pt>
                <c:pt idx="4">
                  <c:v>21880201</c:v>
                </c:pt>
                <c:pt idx="5">
                  <c:v>25550000</c:v>
                </c:pt>
              </c:numCache>
            </c:numRef>
          </c:val>
          <c:extLst>
            <c:ext xmlns:c16="http://schemas.microsoft.com/office/drawing/2014/chart" uri="{C3380CC4-5D6E-409C-BE32-E72D297353CC}">
              <c16:uniqueId val="{0000000C-0AE4-4800-99EC-617C02CF684A}"/>
            </c:ext>
          </c:extLst>
        </c:ser>
        <c:dLbls>
          <c:showLegendKey val="0"/>
          <c:showVal val="0"/>
          <c:showCatName val="0"/>
          <c:showSerName val="0"/>
          <c:showPercent val="0"/>
          <c:showBubbleSize val="0"/>
          <c:showLeaderLines val="1"/>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Table!PivotTable8</c:name>
    <c:fmtId val="2"/>
  </c:pivotSource>
  <c:chart>
    <c:title>
      <c:tx>
        <c:rich>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r>
              <a:rPr lang="en-US" sz="1000" b="1">
                <a:solidFill>
                  <a:schemeClr val="accent3">
                    <a:lumMod val="50000"/>
                  </a:schemeClr>
                </a:solidFill>
              </a:rPr>
              <a:t>REGIONS</a:t>
            </a:r>
            <a:r>
              <a:rPr lang="en-US" sz="1000" b="1" baseline="0">
                <a:solidFill>
                  <a:schemeClr val="accent3">
                    <a:lumMod val="50000"/>
                  </a:schemeClr>
                </a:solidFill>
              </a:rPr>
              <a:t> WITH HIGHEST SLAES PRODUCT</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Table'!$E$17:$E$18</c:f>
              <c:strCache>
                <c:ptCount val="1"/>
                <c:pt idx="0">
                  <c:v>East</c:v>
                </c:pt>
              </c:strCache>
            </c:strRef>
          </c:tx>
          <c:spPr>
            <a:solidFill>
              <a:schemeClr val="accent1"/>
            </a:solidFill>
            <a:ln>
              <a:noFill/>
            </a:ln>
            <a:effectLst/>
          </c:spPr>
          <c:invertIfNegative val="0"/>
          <c:cat>
            <c:strRef>
              <c:f>'Pivot Table'!$D$19:$D$28</c:f>
              <c:strCache>
                <c:ptCount val="9"/>
                <c:pt idx="0">
                  <c:v>Camerac010</c:v>
                </c:pt>
                <c:pt idx="1">
                  <c:v>Camerac100</c:v>
                </c:pt>
                <c:pt idx="2">
                  <c:v>Laptopa15</c:v>
                </c:pt>
                <c:pt idx="3">
                  <c:v>Monitorm24</c:v>
                </c:pt>
                <c:pt idx="4">
                  <c:v>Phonex12</c:v>
                </c:pt>
                <c:pt idx="5">
                  <c:v>Speakers10</c:v>
                </c:pt>
                <c:pt idx="6">
                  <c:v>Tablett8</c:v>
                </c:pt>
                <c:pt idx="7">
                  <c:v>Tv43Q</c:v>
                </c:pt>
                <c:pt idx="8">
                  <c:v>Unknown</c:v>
                </c:pt>
              </c:strCache>
            </c:strRef>
          </c:cat>
          <c:val>
            <c:numRef>
              <c:f>'Pivot Table'!$E$19:$E$28</c:f>
              <c:numCache>
                <c:formatCode>_(* #,##0.00_);_(* \(#,##0.00\);_(* "-"??_);_(@_)</c:formatCode>
                <c:ptCount val="9"/>
                <c:pt idx="0">
                  <c:v>2100000</c:v>
                </c:pt>
                <c:pt idx="1">
                  <c:v>15925000</c:v>
                </c:pt>
                <c:pt idx="2">
                  <c:v>18000000</c:v>
                </c:pt>
                <c:pt idx="3">
                  <c:v>13552385</c:v>
                </c:pt>
                <c:pt idx="4">
                  <c:v>6051113</c:v>
                </c:pt>
                <c:pt idx="5">
                  <c:v>3910000</c:v>
                </c:pt>
                <c:pt idx="6">
                  <c:v>11700000</c:v>
                </c:pt>
                <c:pt idx="7">
                  <c:v>7630000</c:v>
                </c:pt>
                <c:pt idx="8">
                  <c:v>650000</c:v>
                </c:pt>
              </c:numCache>
            </c:numRef>
          </c:val>
          <c:extLst>
            <c:ext xmlns:c16="http://schemas.microsoft.com/office/drawing/2014/chart" uri="{C3380CC4-5D6E-409C-BE32-E72D297353CC}">
              <c16:uniqueId val="{00000000-E4E5-4A8E-9E20-48B45D1927DE}"/>
            </c:ext>
          </c:extLst>
        </c:ser>
        <c:ser>
          <c:idx val="1"/>
          <c:order val="1"/>
          <c:tx>
            <c:strRef>
              <c:f>'Pivot Table'!$F$17:$F$18</c:f>
              <c:strCache>
                <c:ptCount val="1"/>
                <c:pt idx="0">
                  <c:v>North</c:v>
                </c:pt>
              </c:strCache>
            </c:strRef>
          </c:tx>
          <c:spPr>
            <a:solidFill>
              <a:schemeClr val="accent2"/>
            </a:solidFill>
            <a:ln>
              <a:noFill/>
            </a:ln>
            <a:effectLst/>
          </c:spPr>
          <c:invertIfNegative val="0"/>
          <c:cat>
            <c:strRef>
              <c:f>'Pivot Table'!$D$19:$D$28</c:f>
              <c:strCache>
                <c:ptCount val="9"/>
                <c:pt idx="0">
                  <c:v>Camerac010</c:v>
                </c:pt>
                <c:pt idx="1">
                  <c:v>Camerac100</c:v>
                </c:pt>
                <c:pt idx="2">
                  <c:v>Laptopa15</c:v>
                </c:pt>
                <c:pt idx="3">
                  <c:v>Monitorm24</c:v>
                </c:pt>
                <c:pt idx="4">
                  <c:v>Phonex12</c:v>
                </c:pt>
                <c:pt idx="5">
                  <c:v>Speakers10</c:v>
                </c:pt>
                <c:pt idx="6">
                  <c:v>Tablett8</c:v>
                </c:pt>
                <c:pt idx="7">
                  <c:v>Tv43Q</c:v>
                </c:pt>
                <c:pt idx="8">
                  <c:v>Unknown</c:v>
                </c:pt>
              </c:strCache>
            </c:strRef>
          </c:cat>
          <c:val>
            <c:numRef>
              <c:f>'Pivot Table'!$F$19:$F$28</c:f>
              <c:numCache>
                <c:formatCode>_(* #,##0.00_);_(* \(#,##0.00\);_(* "-"??_);_(@_)</c:formatCode>
                <c:ptCount val="9"/>
                <c:pt idx="1">
                  <c:v>5250000</c:v>
                </c:pt>
                <c:pt idx="2">
                  <c:v>8250000</c:v>
                </c:pt>
                <c:pt idx="3">
                  <c:v>1105000</c:v>
                </c:pt>
                <c:pt idx="4">
                  <c:v>5940000</c:v>
                </c:pt>
                <c:pt idx="5">
                  <c:v>1445000</c:v>
                </c:pt>
                <c:pt idx="6">
                  <c:v>4200000</c:v>
                </c:pt>
                <c:pt idx="7">
                  <c:v>13300000</c:v>
                </c:pt>
              </c:numCache>
            </c:numRef>
          </c:val>
          <c:extLst>
            <c:ext xmlns:c16="http://schemas.microsoft.com/office/drawing/2014/chart" uri="{C3380CC4-5D6E-409C-BE32-E72D297353CC}">
              <c16:uniqueId val="{00000001-E4E5-4A8E-9E20-48B45D1927DE}"/>
            </c:ext>
          </c:extLst>
        </c:ser>
        <c:ser>
          <c:idx val="2"/>
          <c:order val="2"/>
          <c:tx>
            <c:strRef>
              <c:f>'Pivot Table'!$G$17:$G$18</c:f>
              <c:strCache>
                <c:ptCount val="1"/>
                <c:pt idx="0">
                  <c:v>South</c:v>
                </c:pt>
              </c:strCache>
            </c:strRef>
          </c:tx>
          <c:spPr>
            <a:solidFill>
              <a:schemeClr val="accent3"/>
            </a:solidFill>
            <a:ln>
              <a:noFill/>
            </a:ln>
            <a:effectLst/>
          </c:spPr>
          <c:invertIfNegative val="0"/>
          <c:cat>
            <c:strRef>
              <c:f>'Pivot Table'!$D$19:$D$28</c:f>
              <c:strCache>
                <c:ptCount val="9"/>
                <c:pt idx="0">
                  <c:v>Camerac010</c:v>
                </c:pt>
                <c:pt idx="1">
                  <c:v>Camerac100</c:v>
                </c:pt>
                <c:pt idx="2">
                  <c:v>Laptopa15</c:v>
                </c:pt>
                <c:pt idx="3">
                  <c:v>Monitorm24</c:v>
                </c:pt>
                <c:pt idx="4">
                  <c:v>Phonex12</c:v>
                </c:pt>
                <c:pt idx="5">
                  <c:v>Speakers10</c:v>
                </c:pt>
                <c:pt idx="6">
                  <c:v>Tablett8</c:v>
                </c:pt>
                <c:pt idx="7">
                  <c:v>Tv43Q</c:v>
                </c:pt>
                <c:pt idx="8">
                  <c:v>Unknown</c:v>
                </c:pt>
              </c:strCache>
            </c:strRef>
          </c:cat>
          <c:val>
            <c:numRef>
              <c:f>'Pivot Table'!$G$19:$G$28</c:f>
              <c:numCache>
                <c:formatCode>_(* #,##0.00_);_(* \(#,##0.00\);_(* "-"??_);_(@_)</c:formatCode>
                <c:ptCount val="9"/>
                <c:pt idx="1">
                  <c:v>1750000</c:v>
                </c:pt>
                <c:pt idx="2">
                  <c:v>25875000</c:v>
                </c:pt>
                <c:pt idx="3">
                  <c:v>3479960</c:v>
                </c:pt>
                <c:pt idx="4">
                  <c:v>1440000</c:v>
                </c:pt>
                <c:pt idx="5">
                  <c:v>2975000</c:v>
                </c:pt>
                <c:pt idx="6">
                  <c:v>10500000</c:v>
                </c:pt>
                <c:pt idx="7">
                  <c:v>22109500</c:v>
                </c:pt>
              </c:numCache>
            </c:numRef>
          </c:val>
          <c:extLst>
            <c:ext xmlns:c16="http://schemas.microsoft.com/office/drawing/2014/chart" uri="{C3380CC4-5D6E-409C-BE32-E72D297353CC}">
              <c16:uniqueId val="{00000002-E4E5-4A8E-9E20-48B45D1927DE}"/>
            </c:ext>
          </c:extLst>
        </c:ser>
        <c:ser>
          <c:idx val="3"/>
          <c:order val="3"/>
          <c:tx>
            <c:strRef>
              <c:f>'Pivot Table'!$H$17:$H$18</c:f>
              <c:strCache>
                <c:ptCount val="1"/>
                <c:pt idx="0">
                  <c:v>West</c:v>
                </c:pt>
              </c:strCache>
            </c:strRef>
          </c:tx>
          <c:spPr>
            <a:solidFill>
              <a:schemeClr val="accent4"/>
            </a:solidFill>
            <a:ln>
              <a:noFill/>
            </a:ln>
            <a:effectLst/>
          </c:spPr>
          <c:invertIfNegative val="0"/>
          <c:cat>
            <c:strRef>
              <c:f>'Pivot Table'!$D$19:$D$28</c:f>
              <c:strCache>
                <c:ptCount val="9"/>
                <c:pt idx="0">
                  <c:v>Camerac010</c:v>
                </c:pt>
                <c:pt idx="1">
                  <c:v>Camerac100</c:v>
                </c:pt>
                <c:pt idx="2">
                  <c:v>Laptopa15</c:v>
                </c:pt>
                <c:pt idx="3">
                  <c:v>Monitorm24</c:v>
                </c:pt>
                <c:pt idx="4">
                  <c:v>Phonex12</c:v>
                </c:pt>
                <c:pt idx="5">
                  <c:v>Speakers10</c:v>
                </c:pt>
                <c:pt idx="6">
                  <c:v>Tablett8</c:v>
                </c:pt>
                <c:pt idx="7">
                  <c:v>Tv43Q</c:v>
                </c:pt>
                <c:pt idx="8">
                  <c:v>Unknown</c:v>
                </c:pt>
              </c:strCache>
            </c:strRef>
          </c:cat>
          <c:val>
            <c:numRef>
              <c:f>'Pivot Table'!$H$19:$H$28</c:f>
              <c:numCache>
                <c:formatCode>_(* #,##0.00_);_(* \(#,##0.00\);_(* "-"??_);_(@_)</c:formatCode>
                <c:ptCount val="9"/>
                <c:pt idx="1">
                  <c:v>525000</c:v>
                </c:pt>
                <c:pt idx="2">
                  <c:v>82250000</c:v>
                </c:pt>
                <c:pt idx="3">
                  <c:v>3092856</c:v>
                </c:pt>
                <c:pt idx="4">
                  <c:v>900000</c:v>
                </c:pt>
                <c:pt idx="5">
                  <c:v>624631</c:v>
                </c:pt>
                <c:pt idx="6">
                  <c:v>7500000</c:v>
                </c:pt>
                <c:pt idx="7">
                  <c:v>20650000</c:v>
                </c:pt>
              </c:numCache>
            </c:numRef>
          </c:val>
          <c:extLst>
            <c:ext xmlns:c16="http://schemas.microsoft.com/office/drawing/2014/chart" uri="{C3380CC4-5D6E-409C-BE32-E72D297353CC}">
              <c16:uniqueId val="{00000003-E4E5-4A8E-9E20-48B45D1927DE}"/>
            </c:ext>
          </c:extLst>
        </c:ser>
        <c:dLbls>
          <c:showLegendKey val="0"/>
          <c:showVal val="0"/>
          <c:showCatName val="0"/>
          <c:showSerName val="0"/>
          <c:showPercent val="0"/>
          <c:showBubbleSize val="0"/>
        </c:dLbls>
        <c:gapWidth val="219"/>
        <c:overlap val="-27"/>
        <c:axId val="1474680672"/>
        <c:axId val="1474681632"/>
      </c:barChart>
      <c:catAx>
        <c:axId val="147468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4681632"/>
        <c:crosses val="autoZero"/>
        <c:auto val="1"/>
        <c:lblAlgn val="ctr"/>
        <c:lblOffset val="100"/>
        <c:noMultiLvlLbl val="0"/>
      </c:catAx>
      <c:valAx>
        <c:axId val="1474681632"/>
        <c:scaling>
          <c:orientation val="minMax"/>
        </c:scaling>
        <c:delete val="1"/>
        <c:axPos val="l"/>
        <c:numFmt formatCode="_(* #,##0.00_);_(* \(#,##0.00\);_(* &quot;-&quot;??_);_(@_)" sourceLinked="1"/>
        <c:majorTickMark val="none"/>
        <c:minorTickMark val="none"/>
        <c:tickLblPos val="nextTo"/>
        <c:crossAx val="147468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Table!PivotTable9</c:name>
    <c:fmtId val="4"/>
  </c:pivotSource>
  <c:chart>
    <c:title>
      <c:tx>
        <c:rich>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r>
              <a:rPr lang="en-US" sz="1000" b="1">
                <a:solidFill>
                  <a:schemeClr val="bg1"/>
                </a:solidFill>
              </a:rPr>
              <a:t>SALES OF CATEGORY IN %</a:t>
            </a:r>
          </a:p>
        </c:rich>
      </c:tx>
      <c:layout>
        <c:manualLayout>
          <c:xMode val="edge"/>
          <c:yMode val="edge"/>
          <c:x val="0.36067197322405536"/>
          <c:y val="4.9155145929339478E-2"/>
        </c:manualLayout>
      </c:layout>
      <c:overlay val="0"/>
      <c:spPr>
        <a:noFill/>
        <a:ln>
          <a:noFill/>
        </a:ln>
        <a:effectLst/>
      </c:spPr>
      <c:txPr>
        <a:bodyPr rot="0" spcFirstLastPara="1" vertOverflow="ellipsis" vert="horz" wrap="square" anchor="ctr" anchorCtr="1"/>
        <a:lstStyle/>
        <a:p>
          <a:pPr>
            <a:defRPr sz="1000" b="1"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pivotFmt>
      <c:pivotFmt>
        <c:idx val="14"/>
        <c:spPr>
          <a:solidFill>
            <a:schemeClr val="accent1"/>
          </a:solidFill>
          <a:ln>
            <a:noFill/>
          </a:ln>
          <a:effectLst/>
        </c:spPr>
      </c:pivotFmt>
      <c:pivotFmt>
        <c:idx val="15"/>
        <c:spPr>
          <a:solidFill>
            <a:schemeClr val="accent1"/>
          </a:solidFill>
          <a:ln>
            <a:noFill/>
          </a:ln>
          <a:effectLst/>
        </c:spPr>
      </c:pivotFmt>
      <c:pivotFmt>
        <c:idx val="16"/>
        <c:spPr>
          <a:solidFill>
            <a:schemeClr val="accent1"/>
          </a:solidFill>
          <a:ln>
            <a:noFill/>
          </a:ln>
          <a:effectLst/>
        </c:spPr>
      </c:pivotFmt>
      <c:pivotFmt>
        <c:idx val="17"/>
        <c:spPr>
          <a:solidFill>
            <a:schemeClr val="accent1"/>
          </a:solidFill>
          <a:ln>
            <a:noFill/>
          </a:ln>
          <a:effectLst/>
        </c:spPr>
      </c:pivotFmt>
      <c:pivotFmt>
        <c:idx val="18"/>
        <c:spPr>
          <a:solidFill>
            <a:schemeClr val="accent1"/>
          </a:solidFill>
          <a:ln>
            <a:noFill/>
          </a:ln>
          <a:effectLst/>
        </c:spPr>
      </c:pivotFmt>
      <c:pivotFmt>
        <c:idx val="19"/>
        <c:spPr>
          <a:solidFill>
            <a:schemeClr val="accent1"/>
          </a:solidFill>
          <a:ln>
            <a:noFill/>
          </a:ln>
          <a:effectLst/>
        </c:spPr>
      </c:pivotFmt>
      <c:pivotFmt>
        <c:idx val="20"/>
        <c:spPr>
          <a:solidFill>
            <a:schemeClr val="accent1"/>
          </a:solidFill>
          <a:ln>
            <a:noFill/>
          </a:ln>
          <a:effectLst/>
        </c:spPr>
      </c:pivotFmt>
      <c:pivotFmt>
        <c:idx val="21"/>
        <c:spPr>
          <a:solidFill>
            <a:schemeClr val="accent1"/>
          </a:solidFill>
          <a:ln>
            <a:noFill/>
          </a:ln>
          <a:effectLst/>
        </c:spPr>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pivotFmt>
      <c:pivotFmt>
        <c:idx val="24"/>
        <c:spPr>
          <a:solidFill>
            <a:schemeClr val="accent1"/>
          </a:solidFill>
          <a:ln>
            <a:noFill/>
          </a:ln>
          <a:effectLst/>
        </c:spPr>
      </c:pivotFmt>
      <c:pivotFmt>
        <c:idx val="25"/>
        <c:spPr>
          <a:solidFill>
            <a:schemeClr val="accent1"/>
          </a:solidFill>
          <a:ln>
            <a:noFill/>
          </a:ln>
          <a:effectLst/>
        </c:spPr>
      </c:pivotFmt>
      <c:pivotFmt>
        <c:idx val="26"/>
        <c:spPr>
          <a:solidFill>
            <a:schemeClr val="accent1"/>
          </a:solidFill>
          <a:ln>
            <a:noFill/>
          </a:ln>
          <a:effectLst/>
        </c:spPr>
      </c:pivotFmt>
      <c:pivotFmt>
        <c:idx val="27"/>
        <c:spPr>
          <a:solidFill>
            <a:schemeClr val="accent1"/>
          </a:solidFill>
          <a:ln>
            <a:noFill/>
          </a:ln>
          <a:effectLst/>
        </c:spPr>
      </c:pivotFmt>
      <c:pivotFmt>
        <c:idx val="28"/>
        <c:spPr>
          <a:solidFill>
            <a:schemeClr val="accent1"/>
          </a:solidFill>
          <a:ln>
            <a:noFill/>
          </a:ln>
          <a:effectLst/>
        </c:spP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1"/>
          </a:solidFill>
          <a:ln>
            <a:noFill/>
          </a:ln>
          <a:effectLst/>
        </c:spPr>
      </c:pivotFmt>
      <c:pivotFmt>
        <c:idx val="36"/>
        <c:spPr>
          <a:solidFill>
            <a:schemeClr val="accent1"/>
          </a:solidFill>
          <a:ln>
            <a:noFill/>
          </a:ln>
          <a:effectLst/>
        </c:spPr>
      </c:pivotFmt>
      <c:pivotFmt>
        <c:idx val="37"/>
        <c:spPr>
          <a:solidFill>
            <a:schemeClr val="accent1"/>
          </a:solidFill>
          <a:ln>
            <a:noFill/>
          </a:ln>
          <a:effectLst/>
        </c:spPr>
      </c:pivotFmt>
      <c:pivotFmt>
        <c:idx val="38"/>
        <c:spPr>
          <a:solidFill>
            <a:schemeClr val="accent1"/>
          </a:solidFill>
          <a:ln>
            <a:noFill/>
          </a:ln>
          <a:effectLst/>
        </c:spPr>
      </c:pivotFmt>
      <c:pivotFmt>
        <c:idx val="39"/>
        <c:spPr>
          <a:solidFill>
            <a:schemeClr val="accent1"/>
          </a:solidFill>
          <a:ln>
            <a:noFill/>
          </a:ln>
          <a:effectLst/>
        </c:spPr>
      </c:pivotFmt>
      <c:pivotFmt>
        <c:idx val="40"/>
        <c:spPr>
          <a:solidFill>
            <a:schemeClr val="accent1"/>
          </a:solidFill>
          <a:ln>
            <a:noFill/>
          </a:ln>
          <a:effectLst/>
        </c:spPr>
      </c:pivotFmt>
      <c:pivotFmt>
        <c:idx val="41"/>
        <c:spPr>
          <a:solidFill>
            <a:schemeClr val="accent1"/>
          </a:solidFill>
          <a:ln>
            <a:noFill/>
          </a:ln>
          <a:effectLst/>
        </c:spPr>
      </c:pivotFmt>
    </c:pivotFmts>
    <c:plotArea>
      <c:layout/>
      <c:pieChart>
        <c:varyColors val="1"/>
        <c:ser>
          <c:idx val="0"/>
          <c:order val="0"/>
          <c:tx>
            <c:strRef>
              <c:f>'Pivot Table'!$B$32</c:f>
              <c:strCache>
                <c:ptCount val="1"/>
                <c:pt idx="0">
                  <c:v>% of Total</c:v>
                </c:pt>
              </c:strCache>
            </c:strRef>
          </c:tx>
          <c:dPt>
            <c:idx val="0"/>
            <c:bubble3D val="0"/>
            <c:spPr>
              <a:solidFill>
                <a:schemeClr val="accent1"/>
              </a:solidFill>
              <a:ln>
                <a:noFill/>
              </a:ln>
              <a:effectLst/>
            </c:spPr>
            <c:extLst>
              <c:ext xmlns:c16="http://schemas.microsoft.com/office/drawing/2014/chart" uri="{C3380CC4-5D6E-409C-BE32-E72D297353CC}">
                <c16:uniqueId val="{00000001-71EC-4975-99F7-67DCD58162BC}"/>
              </c:ext>
            </c:extLst>
          </c:dPt>
          <c:dPt>
            <c:idx val="1"/>
            <c:bubble3D val="0"/>
            <c:spPr>
              <a:solidFill>
                <a:schemeClr val="accent2"/>
              </a:solidFill>
              <a:ln>
                <a:noFill/>
              </a:ln>
              <a:effectLst/>
            </c:spPr>
            <c:extLst>
              <c:ext xmlns:c16="http://schemas.microsoft.com/office/drawing/2014/chart" uri="{C3380CC4-5D6E-409C-BE32-E72D297353CC}">
                <c16:uniqueId val="{00000003-71EC-4975-99F7-67DCD58162BC}"/>
              </c:ext>
            </c:extLst>
          </c:dPt>
          <c:dPt>
            <c:idx val="2"/>
            <c:bubble3D val="0"/>
            <c:spPr>
              <a:solidFill>
                <a:schemeClr val="accent3"/>
              </a:solidFill>
              <a:ln>
                <a:noFill/>
              </a:ln>
              <a:effectLst/>
            </c:spPr>
            <c:extLst>
              <c:ext xmlns:c16="http://schemas.microsoft.com/office/drawing/2014/chart" uri="{C3380CC4-5D6E-409C-BE32-E72D297353CC}">
                <c16:uniqueId val="{00000005-71EC-4975-99F7-67DCD58162BC}"/>
              </c:ext>
            </c:extLst>
          </c:dPt>
          <c:dPt>
            <c:idx val="3"/>
            <c:bubble3D val="0"/>
            <c:spPr>
              <a:solidFill>
                <a:schemeClr val="accent4"/>
              </a:solidFill>
              <a:ln>
                <a:noFill/>
              </a:ln>
              <a:effectLst/>
            </c:spPr>
            <c:extLst>
              <c:ext xmlns:c16="http://schemas.microsoft.com/office/drawing/2014/chart" uri="{C3380CC4-5D6E-409C-BE32-E72D297353CC}">
                <c16:uniqueId val="{00000007-71EC-4975-99F7-67DCD58162BC}"/>
              </c:ext>
            </c:extLst>
          </c:dPt>
          <c:dPt>
            <c:idx val="4"/>
            <c:bubble3D val="0"/>
            <c:spPr>
              <a:solidFill>
                <a:schemeClr val="accent5"/>
              </a:solidFill>
              <a:ln>
                <a:noFill/>
              </a:ln>
              <a:effectLst/>
            </c:spPr>
            <c:extLst>
              <c:ext xmlns:c16="http://schemas.microsoft.com/office/drawing/2014/chart" uri="{C3380CC4-5D6E-409C-BE32-E72D297353CC}">
                <c16:uniqueId val="{00000009-71EC-4975-99F7-67DCD58162BC}"/>
              </c:ext>
            </c:extLst>
          </c:dPt>
          <c:dPt>
            <c:idx val="5"/>
            <c:bubble3D val="0"/>
            <c:spPr>
              <a:solidFill>
                <a:schemeClr val="accent6"/>
              </a:solidFill>
              <a:ln>
                <a:noFill/>
              </a:ln>
              <a:effectLst/>
            </c:spPr>
            <c:extLst>
              <c:ext xmlns:c16="http://schemas.microsoft.com/office/drawing/2014/chart" uri="{C3380CC4-5D6E-409C-BE32-E72D297353CC}">
                <c16:uniqueId val="{0000000B-71EC-4975-99F7-67DCD58162B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0D-71EC-4975-99F7-67DCD58162B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0F-71EC-4975-99F7-67DCD58162B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11-71EC-4975-99F7-67DCD58162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Table'!$A$33:$A$48</c:f>
              <c:multiLvlStrCache>
                <c:ptCount val="9"/>
                <c:lvl>
                  <c:pt idx="0">
                    <c:v>Laptopa15</c:v>
                  </c:pt>
                  <c:pt idx="1">
                    <c:v>Tv43Q</c:v>
                  </c:pt>
                  <c:pt idx="2">
                    <c:v>Tablett8</c:v>
                  </c:pt>
                  <c:pt idx="3">
                    <c:v>Phonex12</c:v>
                  </c:pt>
                  <c:pt idx="4">
                    <c:v>Camerac100</c:v>
                  </c:pt>
                  <c:pt idx="5">
                    <c:v>Camerac010</c:v>
                  </c:pt>
                  <c:pt idx="6">
                    <c:v>Monitorm24</c:v>
                  </c:pt>
                  <c:pt idx="7">
                    <c:v>Unknown</c:v>
                  </c:pt>
                  <c:pt idx="8">
                    <c:v>Speakers10</c:v>
                  </c:pt>
                </c:lvl>
                <c:lvl>
                  <c:pt idx="0">
                    <c:v>Computers</c:v>
                  </c:pt>
                  <c:pt idx="1">
                    <c:v>Electronics</c:v>
                  </c:pt>
                  <c:pt idx="2">
                    <c:v>Mobile</c:v>
                  </c:pt>
                  <c:pt idx="4">
                    <c:v>Photography</c:v>
                  </c:pt>
                  <c:pt idx="6">
                    <c:v>Peripherals</c:v>
                  </c:pt>
                  <c:pt idx="8">
                    <c:v>Audio</c:v>
                  </c:pt>
                </c:lvl>
              </c:multiLvlStrCache>
            </c:multiLvlStrRef>
          </c:cat>
          <c:val>
            <c:numRef>
              <c:f>'Pivot Table'!$B$33:$B$48</c:f>
              <c:numCache>
                <c:formatCode>0.00%</c:formatCode>
                <c:ptCount val="9"/>
                <c:pt idx="0">
                  <c:v>0.44395005432214163</c:v>
                </c:pt>
                <c:pt idx="1">
                  <c:v>0.21041828453767472</c:v>
                </c:pt>
                <c:pt idx="2">
                  <c:v>0.11199930672759517</c:v>
                </c:pt>
                <c:pt idx="3">
                  <c:v>4.7347336891882794E-2</c:v>
                </c:pt>
                <c:pt idx="4">
                  <c:v>7.7474446689147686E-2</c:v>
                </c:pt>
                <c:pt idx="5">
                  <c:v>6.9380101512669578E-3</c:v>
                </c:pt>
                <c:pt idx="6">
                  <c:v>7.01406428816371E-2</c:v>
                </c:pt>
                <c:pt idx="7">
                  <c:v>2.1474793325350107E-3</c:v>
                </c:pt>
                <c:pt idx="8">
                  <c:v>2.9584438466118947E-2</c:v>
                </c:pt>
              </c:numCache>
            </c:numRef>
          </c:val>
          <c:extLst>
            <c:ext xmlns:c16="http://schemas.microsoft.com/office/drawing/2014/chart" uri="{C3380CC4-5D6E-409C-BE32-E72D297353CC}">
              <c16:uniqueId val="{00000012-71EC-4975-99F7-67DCD58162BC}"/>
            </c:ext>
          </c:extLst>
        </c:ser>
        <c:ser>
          <c:idx val="1"/>
          <c:order val="1"/>
          <c:tx>
            <c:strRef>
              <c:f>'Pivot Table'!$C$32</c:f>
              <c:strCache>
                <c:ptCount val="1"/>
                <c:pt idx="0">
                  <c:v>Sum of Total Sales</c:v>
                </c:pt>
              </c:strCache>
            </c:strRef>
          </c:tx>
          <c:dPt>
            <c:idx val="0"/>
            <c:bubble3D val="0"/>
            <c:spPr>
              <a:solidFill>
                <a:schemeClr val="accent1"/>
              </a:solidFill>
              <a:ln>
                <a:noFill/>
              </a:ln>
              <a:effectLst/>
            </c:spPr>
            <c:extLst>
              <c:ext xmlns:c16="http://schemas.microsoft.com/office/drawing/2014/chart" uri="{C3380CC4-5D6E-409C-BE32-E72D297353CC}">
                <c16:uniqueId val="{00000014-71EC-4975-99F7-67DCD58162BC}"/>
              </c:ext>
            </c:extLst>
          </c:dPt>
          <c:dPt>
            <c:idx val="1"/>
            <c:bubble3D val="0"/>
            <c:spPr>
              <a:solidFill>
                <a:schemeClr val="accent2"/>
              </a:solidFill>
              <a:ln>
                <a:noFill/>
              </a:ln>
              <a:effectLst/>
            </c:spPr>
            <c:extLst>
              <c:ext xmlns:c16="http://schemas.microsoft.com/office/drawing/2014/chart" uri="{C3380CC4-5D6E-409C-BE32-E72D297353CC}">
                <c16:uniqueId val="{00000016-71EC-4975-99F7-67DCD58162BC}"/>
              </c:ext>
            </c:extLst>
          </c:dPt>
          <c:dPt>
            <c:idx val="2"/>
            <c:bubble3D val="0"/>
            <c:spPr>
              <a:solidFill>
                <a:schemeClr val="accent3"/>
              </a:solidFill>
              <a:ln>
                <a:noFill/>
              </a:ln>
              <a:effectLst/>
            </c:spPr>
            <c:extLst>
              <c:ext xmlns:c16="http://schemas.microsoft.com/office/drawing/2014/chart" uri="{C3380CC4-5D6E-409C-BE32-E72D297353CC}">
                <c16:uniqueId val="{00000018-71EC-4975-99F7-67DCD58162BC}"/>
              </c:ext>
            </c:extLst>
          </c:dPt>
          <c:dPt>
            <c:idx val="3"/>
            <c:bubble3D val="0"/>
            <c:spPr>
              <a:solidFill>
                <a:schemeClr val="accent4"/>
              </a:solidFill>
              <a:ln>
                <a:noFill/>
              </a:ln>
              <a:effectLst/>
            </c:spPr>
            <c:extLst>
              <c:ext xmlns:c16="http://schemas.microsoft.com/office/drawing/2014/chart" uri="{C3380CC4-5D6E-409C-BE32-E72D297353CC}">
                <c16:uniqueId val="{0000001A-71EC-4975-99F7-67DCD58162BC}"/>
              </c:ext>
            </c:extLst>
          </c:dPt>
          <c:dPt>
            <c:idx val="4"/>
            <c:bubble3D val="0"/>
            <c:spPr>
              <a:solidFill>
                <a:schemeClr val="accent5"/>
              </a:solidFill>
              <a:ln>
                <a:noFill/>
              </a:ln>
              <a:effectLst/>
            </c:spPr>
            <c:extLst>
              <c:ext xmlns:c16="http://schemas.microsoft.com/office/drawing/2014/chart" uri="{C3380CC4-5D6E-409C-BE32-E72D297353CC}">
                <c16:uniqueId val="{0000001C-71EC-4975-99F7-67DCD58162BC}"/>
              </c:ext>
            </c:extLst>
          </c:dPt>
          <c:dPt>
            <c:idx val="5"/>
            <c:bubble3D val="0"/>
            <c:spPr>
              <a:solidFill>
                <a:schemeClr val="accent6"/>
              </a:solidFill>
              <a:ln>
                <a:noFill/>
              </a:ln>
              <a:effectLst/>
            </c:spPr>
            <c:extLst>
              <c:ext xmlns:c16="http://schemas.microsoft.com/office/drawing/2014/chart" uri="{C3380CC4-5D6E-409C-BE32-E72D297353CC}">
                <c16:uniqueId val="{0000001E-71EC-4975-99F7-67DCD58162BC}"/>
              </c:ext>
            </c:extLst>
          </c:dPt>
          <c:dPt>
            <c:idx val="6"/>
            <c:bubble3D val="0"/>
            <c:spPr>
              <a:solidFill>
                <a:schemeClr val="accent1">
                  <a:lumMod val="60000"/>
                </a:schemeClr>
              </a:solidFill>
              <a:ln>
                <a:noFill/>
              </a:ln>
              <a:effectLst/>
            </c:spPr>
            <c:extLst>
              <c:ext xmlns:c16="http://schemas.microsoft.com/office/drawing/2014/chart" uri="{C3380CC4-5D6E-409C-BE32-E72D297353CC}">
                <c16:uniqueId val="{00000020-71EC-4975-99F7-67DCD58162BC}"/>
              </c:ext>
            </c:extLst>
          </c:dPt>
          <c:dPt>
            <c:idx val="7"/>
            <c:bubble3D val="0"/>
            <c:spPr>
              <a:solidFill>
                <a:schemeClr val="accent2">
                  <a:lumMod val="60000"/>
                </a:schemeClr>
              </a:solidFill>
              <a:ln>
                <a:noFill/>
              </a:ln>
              <a:effectLst/>
            </c:spPr>
            <c:extLst>
              <c:ext xmlns:c16="http://schemas.microsoft.com/office/drawing/2014/chart" uri="{C3380CC4-5D6E-409C-BE32-E72D297353CC}">
                <c16:uniqueId val="{00000022-71EC-4975-99F7-67DCD58162BC}"/>
              </c:ext>
            </c:extLst>
          </c:dPt>
          <c:dPt>
            <c:idx val="8"/>
            <c:bubble3D val="0"/>
            <c:spPr>
              <a:solidFill>
                <a:schemeClr val="accent3">
                  <a:lumMod val="60000"/>
                </a:schemeClr>
              </a:solidFill>
              <a:ln>
                <a:noFill/>
              </a:ln>
              <a:effectLst/>
            </c:spPr>
            <c:extLst>
              <c:ext xmlns:c16="http://schemas.microsoft.com/office/drawing/2014/chart" uri="{C3380CC4-5D6E-409C-BE32-E72D297353CC}">
                <c16:uniqueId val="{00000024-71EC-4975-99F7-67DCD58162B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multiLvlStrRef>
              <c:f>'Pivot Table'!$A$33:$A$48</c:f>
              <c:multiLvlStrCache>
                <c:ptCount val="9"/>
                <c:lvl>
                  <c:pt idx="0">
                    <c:v>Laptopa15</c:v>
                  </c:pt>
                  <c:pt idx="1">
                    <c:v>Tv43Q</c:v>
                  </c:pt>
                  <c:pt idx="2">
                    <c:v>Tablett8</c:v>
                  </c:pt>
                  <c:pt idx="3">
                    <c:v>Phonex12</c:v>
                  </c:pt>
                  <c:pt idx="4">
                    <c:v>Camerac100</c:v>
                  </c:pt>
                  <c:pt idx="5">
                    <c:v>Camerac010</c:v>
                  </c:pt>
                  <c:pt idx="6">
                    <c:v>Monitorm24</c:v>
                  </c:pt>
                  <c:pt idx="7">
                    <c:v>Unknown</c:v>
                  </c:pt>
                  <c:pt idx="8">
                    <c:v>Speakers10</c:v>
                  </c:pt>
                </c:lvl>
                <c:lvl>
                  <c:pt idx="0">
                    <c:v>Computers</c:v>
                  </c:pt>
                  <c:pt idx="1">
                    <c:v>Electronics</c:v>
                  </c:pt>
                  <c:pt idx="2">
                    <c:v>Mobile</c:v>
                  </c:pt>
                  <c:pt idx="4">
                    <c:v>Photography</c:v>
                  </c:pt>
                  <c:pt idx="6">
                    <c:v>Peripherals</c:v>
                  </c:pt>
                  <c:pt idx="8">
                    <c:v>Audio</c:v>
                  </c:pt>
                </c:lvl>
              </c:multiLvlStrCache>
            </c:multiLvlStrRef>
          </c:cat>
          <c:val>
            <c:numRef>
              <c:f>'Pivot Table'!$C$33:$C$48</c:f>
              <c:numCache>
                <c:formatCode>_(* #,##0.00_);_(* \(#,##0.00\);_(* "-"??_);_(@_)</c:formatCode>
                <c:ptCount val="9"/>
                <c:pt idx="0">
                  <c:v>134375000</c:v>
                </c:pt>
                <c:pt idx="1">
                  <c:v>63689500</c:v>
                </c:pt>
                <c:pt idx="2">
                  <c:v>33900000</c:v>
                </c:pt>
                <c:pt idx="3">
                  <c:v>14331113</c:v>
                </c:pt>
                <c:pt idx="4">
                  <c:v>23450000</c:v>
                </c:pt>
                <c:pt idx="5">
                  <c:v>2100000</c:v>
                </c:pt>
                <c:pt idx="6">
                  <c:v>21230201</c:v>
                </c:pt>
                <c:pt idx="7">
                  <c:v>650000</c:v>
                </c:pt>
                <c:pt idx="8">
                  <c:v>8954631</c:v>
                </c:pt>
              </c:numCache>
            </c:numRef>
          </c:val>
          <c:extLst>
            <c:ext xmlns:c16="http://schemas.microsoft.com/office/drawing/2014/chart" uri="{C3380CC4-5D6E-409C-BE32-E72D297353CC}">
              <c16:uniqueId val="{00000025-71EC-4975-99F7-67DCD58162B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54726587747960076"/>
          <c:y val="0.19137334940564396"/>
          <c:w val="0.41835353687056148"/>
          <c:h val="0.722482468868727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Table!PivotTable7</c:name>
    <c:fmtId val="2"/>
  </c:pivotSource>
  <c:chart>
    <c:title>
      <c:tx>
        <c:rich>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r>
              <a:rPr lang="en-US" sz="1000" b="1">
                <a:solidFill>
                  <a:schemeClr val="accent3">
                    <a:lumMod val="50000"/>
                  </a:schemeClr>
                </a:solidFill>
              </a:rPr>
              <a:t>SALES UNIT BY SALES REP</a:t>
            </a:r>
          </a:p>
        </c:rich>
      </c:tx>
      <c:overlay val="0"/>
      <c:spPr>
        <a:noFill/>
        <a:ln>
          <a:noFill/>
        </a:ln>
        <a:effectLst/>
      </c:spPr>
      <c:txPr>
        <a:bodyPr rot="0" spcFirstLastPara="1" vertOverflow="ellipsis" vert="horz" wrap="square" anchor="ctr" anchorCtr="1"/>
        <a:lstStyle/>
        <a:p>
          <a:pPr>
            <a:defRPr sz="1000" b="1" i="0" u="none" strike="noStrike" kern="1200" spc="0" baseline="0">
              <a:solidFill>
                <a:schemeClr val="accent3">
                  <a:lumMod val="50000"/>
                </a:schemeClr>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Table'!$B$13</c:f>
              <c:strCache>
                <c:ptCount val="1"/>
                <c:pt idx="0">
                  <c:v>Total</c:v>
                </c:pt>
              </c:strCache>
            </c:strRef>
          </c:tx>
          <c:spPr>
            <a:solidFill>
              <a:schemeClr val="accent3">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Table'!$A$14:$A$24</c:f>
              <c:strCache>
                <c:ptCount val="10"/>
                <c:pt idx="0">
                  <c:v>CHINEDUNWOSU</c:v>
                </c:pt>
                <c:pt idx="1">
                  <c:v>FOLABALOGUN</c:v>
                </c:pt>
                <c:pt idx="2">
                  <c:v>GRACEAMOS</c:v>
                </c:pt>
                <c:pt idx="3">
                  <c:v>IFEANYIOKAFOR</c:v>
                </c:pt>
                <c:pt idx="4">
                  <c:v>AISHABELLO</c:v>
                </c:pt>
                <c:pt idx="5">
                  <c:v>PETEROBI</c:v>
                </c:pt>
                <c:pt idx="6">
                  <c:v>MARYJOHN</c:v>
                </c:pt>
                <c:pt idx="7">
                  <c:v>PRAISEODUNAYO</c:v>
                </c:pt>
                <c:pt idx="8">
                  <c:v>JOBAUSTIN</c:v>
                </c:pt>
                <c:pt idx="9">
                  <c:v>ABAJOEL</c:v>
                </c:pt>
              </c:strCache>
            </c:strRef>
          </c:cat>
          <c:val>
            <c:numRef>
              <c:f>'Pivot Table'!$B$14:$B$24</c:f>
              <c:numCache>
                <c:formatCode>General</c:formatCode>
                <c:ptCount val="10"/>
                <c:pt idx="0">
                  <c:v>224</c:v>
                </c:pt>
                <c:pt idx="1">
                  <c:v>195</c:v>
                </c:pt>
                <c:pt idx="2">
                  <c:v>177</c:v>
                </c:pt>
                <c:pt idx="3">
                  <c:v>151</c:v>
                </c:pt>
                <c:pt idx="4">
                  <c:v>124</c:v>
                </c:pt>
                <c:pt idx="5">
                  <c:v>121</c:v>
                </c:pt>
                <c:pt idx="6">
                  <c:v>105</c:v>
                </c:pt>
                <c:pt idx="7">
                  <c:v>19</c:v>
                </c:pt>
                <c:pt idx="8">
                  <c:v>15</c:v>
                </c:pt>
                <c:pt idx="9">
                  <c:v>10</c:v>
                </c:pt>
              </c:numCache>
            </c:numRef>
          </c:val>
          <c:extLst>
            <c:ext xmlns:c16="http://schemas.microsoft.com/office/drawing/2014/chart" uri="{C3380CC4-5D6E-409C-BE32-E72D297353CC}">
              <c16:uniqueId val="{00000000-1C3A-4766-9500-8C864073AF0A}"/>
            </c:ext>
          </c:extLst>
        </c:ser>
        <c:dLbls>
          <c:dLblPos val="outEnd"/>
          <c:showLegendKey val="0"/>
          <c:showVal val="1"/>
          <c:showCatName val="0"/>
          <c:showSerName val="0"/>
          <c:showPercent val="0"/>
          <c:showBubbleSize val="0"/>
        </c:dLbls>
        <c:gapWidth val="219"/>
        <c:overlap val="-27"/>
        <c:axId val="1368437856"/>
        <c:axId val="1368434496"/>
      </c:barChart>
      <c:catAx>
        <c:axId val="13684378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8434496"/>
        <c:crosses val="autoZero"/>
        <c:auto val="1"/>
        <c:lblAlgn val="ctr"/>
        <c:lblOffset val="100"/>
        <c:noMultiLvlLbl val="0"/>
      </c:catAx>
      <c:valAx>
        <c:axId val="1368434496"/>
        <c:scaling>
          <c:orientation val="minMax"/>
        </c:scaling>
        <c:delete val="1"/>
        <c:axPos val="l"/>
        <c:numFmt formatCode="General" sourceLinked="1"/>
        <c:majorTickMark val="none"/>
        <c:minorTickMark val="none"/>
        <c:tickLblPos val="nextTo"/>
        <c:crossAx val="13684378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[Final Project on EXCEL.xlsx]Pivot Table!PivotTable6</c:name>
    <c:fmtId val="5"/>
  </c:pivotSource>
  <c:chart>
    <c:title>
      <c:tx>
        <c:rich>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r>
              <a:rPr lang="en-US" sz="1200" b="1">
                <a:solidFill>
                  <a:schemeClr val="bg1"/>
                </a:solidFill>
              </a:rPr>
              <a:t>TOP 5 CUSTOMER</a:t>
            </a:r>
          </a:p>
        </c:rich>
      </c:tx>
      <c:overlay val="0"/>
      <c:spPr>
        <a:noFill/>
        <a:ln>
          <a:noFill/>
        </a:ln>
        <a:effectLst/>
      </c:spPr>
      <c:txPr>
        <a:bodyPr rot="0" spcFirstLastPara="1" vertOverflow="ellipsis" vert="horz" wrap="square" anchor="ctr" anchorCtr="1"/>
        <a:lstStyle/>
        <a:p>
          <a:pPr>
            <a:defRPr sz="1200" b="0" i="0" u="none" strike="noStrike" kern="1200" spc="0" baseline="0">
              <a:solidFill>
                <a:schemeClr val="bg1"/>
              </a:solidFill>
              <a:latin typeface="+mn-lt"/>
              <a:ea typeface="+mn-ea"/>
              <a:cs typeface="+mn-cs"/>
            </a:defRPr>
          </a:pPr>
          <a:endParaRPr lang="en-US"/>
        </a:p>
      </c:txPr>
    </c:title>
    <c:autoTitleDeleted val="0"/>
    <c:pivotFmts>
      <c:pivotFmt>
        <c:idx val="0"/>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3">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ysClr val="window" lastClr="FFFFFF"/>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Table'!$F$32</c:f>
              <c:strCache>
                <c:ptCount val="1"/>
                <c:pt idx="0">
                  <c:v>Total</c:v>
                </c:pt>
              </c:strCache>
            </c:strRef>
          </c:tx>
          <c:spPr>
            <a:solidFill>
              <a:sysClr val="window" lastClr="FFFFFF"/>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Table'!$E$33:$E$38</c:f>
              <c:strCache>
                <c:ptCount val="5"/>
                <c:pt idx="0">
                  <c:v>Omega Wholesale</c:v>
                </c:pt>
                <c:pt idx="1">
                  <c:v>Musa Enterprrises</c:v>
                </c:pt>
                <c:pt idx="2">
                  <c:v>Bright Solutions</c:v>
                </c:pt>
                <c:pt idx="3">
                  <c:v>Femi Tech</c:v>
                </c:pt>
                <c:pt idx="4">
                  <c:v>Jide Superstores</c:v>
                </c:pt>
              </c:strCache>
            </c:strRef>
          </c:cat>
          <c:val>
            <c:numRef>
              <c:f>'Pivot Table'!$F$33:$F$38</c:f>
              <c:numCache>
                <c:formatCode>#,###.00,,"m"</c:formatCode>
                <c:ptCount val="5"/>
                <c:pt idx="0">
                  <c:v>89559500</c:v>
                </c:pt>
                <c:pt idx="1">
                  <c:v>39626113</c:v>
                </c:pt>
                <c:pt idx="2">
                  <c:v>31715000</c:v>
                </c:pt>
                <c:pt idx="3">
                  <c:v>31117487</c:v>
                </c:pt>
                <c:pt idx="4">
                  <c:v>23270000</c:v>
                </c:pt>
              </c:numCache>
            </c:numRef>
          </c:val>
          <c:extLst>
            <c:ext xmlns:c16="http://schemas.microsoft.com/office/drawing/2014/chart" uri="{C3380CC4-5D6E-409C-BE32-E72D297353CC}">
              <c16:uniqueId val="{00000000-206C-43D5-AFC2-4ECD5F63C6DA}"/>
            </c:ext>
          </c:extLst>
        </c:ser>
        <c:dLbls>
          <c:dLblPos val="outEnd"/>
          <c:showLegendKey val="0"/>
          <c:showVal val="1"/>
          <c:showCatName val="0"/>
          <c:showSerName val="0"/>
          <c:showPercent val="0"/>
          <c:showBubbleSize val="0"/>
        </c:dLbls>
        <c:gapWidth val="219"/>
        <c:overlap val="-27"/>
        <c:axId val="1500571424"/>
        <c:axId val="1500567104"/>
      </c:barChart>
      <c:catAx>
        <c:axId val="150057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500567104"/>
        <c:crosses val="autoZero"/>
        <c:auto val="1"/>
        <c:lblAlgn val="ctr"/>
        <c:lblOffset val="100"/>
        <c:noMultiLvlLbl val="0"/>
      </c:catAx>
      <c:valAx>
        <c:axId val="1500567104"/>
        <c:scaling>
          <c:orientation val="minMax"/>
        </c:scaling>
        <c:delete val="1"/>
        <c:axPos val="l"/>
        <c:numFmt formatCode="#,###.00,,&quot;m&quot;" sourceLinked="1"/>
        <c:majorTickMark val="none"/>
        <c:minorTickMark val="none"/>
        <c:tickLblPos val="nextTo"/>
        <c:crossAx val="150057142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3">
        <a:lumMod val="7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3</xdr:row>
      <xdr:rowOff>25400</xdr:rowOff>
    </xdr:from>
    <xdr:to>
      <xdr:col>14</xdr:col>
      <xdr:colOff>19050</xdr:colOff>
      <xdr:row>9</xdr:row>
      <xdr:rowOff>25400</xdr:rowOff>
    </xdr:to>
    <xdr:sp macro="" textlink="">
      <xdr:nvSpPr>
        <xdr:cNvPr id="2" name="TextBox 1">
          <a:extLst>
            <a:ext uri="{FF2B5EF4-FFF2-40B4-BE49-F238E27FC236}">
              <a16:creationId xmlns:a16="http://schemas.microsoft.com/office/drawing/2014/main" id="{BEBDE3F9-747E-F89B-1A42-02FEE20405A0}"/>
            </a:ext>
          </a:extLst>
        </xdr:cNvPr>
        <xdr:cNvSpPr txBox="1"/>
      </xdr:nvSpPr>
      <xdr:spPr>
        <a:xfrm>
          <a:off x="241300" y="825500"/>
          <a:ext cx="7943850" cy="1104900"/>
        </a:xfrm>
        <a:prstGeom prst="rect">
          <a:avLst/>
        </a:prstGeom>
        <a:solidFill>
          <a:schemeClr val="lt1"/>
        </a:solidFill>
        <a:ln w="12700" cmpd="sng">
          <a:solidFill>
            <a:sysClr val="windowText" lastClr="000000"/>
          </a:solidFill>
          <a:prstDash val="sysDash"/>
        </a:ln>
        <a:scene3d>
          <a:camera prst="orthographicFront"/>
          <a:lightRig rig="threePt" dir="t"/>
        </a:scene3d>
        <a:sp3d>
          <a:bevelT/>
        </a:sp3d>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lang="en-US" sz="1600">
              <a:solidFill>
                <a:schemeClr val="dk1"/>
              </a:solidFill>
              <a:effectLst/>
              <a:latin typeface="+mn-lt"/>
              <a:ea typeface="+mn-ea"/>
              <a:cs typeface="+mn-cs"/>
            </a:rPr>
            <a:t>D-Lite Electronics Ltd. operates across four major regions in Nigeria: North, South, East, and West. The company’s sales data is inconsistent and often contains errors. As a Data Analyst, your task is to clean, analyse, and visualise the data to support management decision-making leveraging</a:t>
          </a:r>
          <a:r>
            <a:rPr lang="en-US" sz="1600" baseline="0">
              <a:solidFill>
                <a:schemeClr val="dk1"/>
              </a:solidFill>
              <a:effectLst/>
              <a:latin typeface="+mn-lt"/>
              <a:ea typeface="+mn-ea"/>
              <a:cs typeface="+mn-cs"/>
            </a:rPr>
            <a:t> all the concepts learnt during the training</a:t>
          </a:r>
          <a:r>
            <a:rPr lang="en-US" sz="1600">
              <a:solidFill>
                <a:schemeClr val="dk1"/>
              </a:solidFill>
              <a:effectLst/>
              <a:latin typeface="+mn-lt"/>
              <a:ea typeface="+mn-ea"/>
              <a:cs typeface="+mn-cs"/>
            </a:rPr>
            <a:t>.</a:t>
          </a:r>
        </a:p>
        <a:p>
          <a:endParaRPr lang="en-US" sz="16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19611</xdr:rowOff>
    </xdr:from>
    <xdr:to>
      <xdr:col>21</xdr:col>
      <xdr:colOff>1</xdr:colOff>
      <xdr:row>2</xdr:row>
      <xdr:rowOff>76761</xdr:rowOff>
    </xdr:to>
    <xdr:sp macro="" textlink="">
      <xdr:nvSpPr>
        <xdr:cNvPr id="2" name="Rectangle: Rounded Corners 1">
          <a:extLst>
            <a:ext uri="{FF2B5EF4-FFF2-40B4-BE49-F238E27FC236}">
              <a16:creationId xmlns:a16="http://schemas.microsoft.com/office/drawing/2014/main" id="{A5CBF3EA-C665-0B96-697F-1E4CB51780D3}"/>
            </a:ext>
          </a:extLst>
        </xdr:cNvPr>
        <xdr:cNvSpPr/>
      </xdr:nvSpPr>
      <xdr:spPr>
        <a:xfrm>
          <a:off x="0" y="19611"/>
          <a:ext cx="12102354" cy="449356"/>
        </a:xfrm>
        <a:prstGeom prst="roundRect">
          <a:avLst/>
        </a:prstGeom>
        <a:solidFill>
          <a:schemeClr val="accent3">
            <a:lumMod val="75000"/>
          </a:schemeClr>
        </a:solidFill>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ctr"/>
          <a:r>
            <a:rPr lang="en-US" sz="2400" b="1">
              <a:solidFill>
                <a:schemeClr val="lt1"/>
              </a:solidFill>
              <a:effectLst/>
              <a:latin typeface="+mn-lt"/>
              <a:ea typeface="+mn-ea"/>
              <a:cs typeface="+mn-cs"/>
            </a:rPr>
            <a:t>D-LITE ELECTRONIC LTD </a:t>
          </a:r>
          <a:r>
            <a:rPr lang="en-US" sz="2400" b="1">
              <a:solidFill>
                <a:schemeClr val="bg1"/>
              </a:solidFill>
            </a:rPr>
            <a:t>SALES</a:t>
          </a:r>
          <a:r>
            <a:rPr lang="en-US" sz="2400" b="1" baseline="0">
              <a:solidFill>
                <a:schemeClr val="bg1"/>
              </a:solidFill>
            </a:rPr>
            <a:t> DASHBOARD</a:t>
          </a:r>
          <a:endParaRPr lang="en-US" sz="2400" b="1">
            <a:solidFill>
              <a:schemeClr val="bg1"/>
            </a:solidFill>
          </a:endParaRPr>
        </a:p>
      </xdr:txBody>
    </xdr:sp>
    <xdr:clientData/>
  </xdr:twoCellAnchor>
  <xdr:twoCellAnchor>
    <xdr:from>
      <xdr:col>1</xdr:col>
      <xdr:colOff>0</xdr:colOff>
      <xdr:row>5</xdr:row>
      <xdr:rowOff>0</xdr:rowOff>
    </xdr:from>
    <xdr:to>
      <xdr:col>5</xdr:col>
      <xdr:colOff>196850</xdr:colOff>
      <xdr:row>14</xdr:row>
      <xdr:rowOff>119063</xdr:rowOff>
    </xdr:to>
    <xdr:graphicFrame macro="">
      <xdr:nvGraphicFramePr>
        <xdr:cNvPr id="3" name="Chart 2">
          <a:extLst>
            <a:ext uri="{FF2B5EF4-FFF2-40B4-BE49-F238E27FC236}">
              <a16:creationId xmlns:a16="http://schemas.microsoft.com/office/drawing/2014/main" id="{E5A3EFEC-B75F-4FEA-93A2-D931F0F032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190500</xdr:colOff>
      <xdr:row>5</xdr:row>
      <xdr:rowOff>0</xdr:rowOff>
    </xdr:from>
    <xdr:to>
      <xdr:col>9</xdr:col>
      <xdr:colOff>355600</xdr:colOff>
      <xdr:row>14</xdr:row>
      <xdr:rowOff>120650</xdr:rowOff>
    </xdr:to>
    <xdr:graphicFrame macro="">
      <xdr:nvGraphicFramePr>
        <xdr:cNvPr id="4" name="Chart 3">
          <a:extLst>
            <a:ext uri="{FF2B5EF4-FFF2-40B4-BE49-F238E27FC236}">
              <a16:creationId xmlns:a16="http://schemas.microsoft.com/office/drawing/2014/main" id="{F577F63C-354C-420E-9327-FAE97946013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355600</xdr:colOff>
      <xdr:row>4</xdr:row>
      <xdr:rowOff>177800</xdr:rowOff>
    </xdr:from>
    <xdr:to>
      <xdr:col>13</xdr:col>
      <xdr:colOff>533400</xdr:colOff>
      <xdr:row>14</xdr:row>
      <xdr:rowOff>127000</xdr:rowOff>
    </xdr:to>
    <xdr:graphicFrame macro="">
      <xdr:nvGraphicFramePr>
        <xdr:cNvPr id="5" name="Chart 4">
          <a:extLst>
            <a:ext uri="{FF2B5EF4-FFF2-40B4-BE49-F238E27FC236}">
              <a16:creationId xmlns:a16="http://schemas.microsoft.com/office/drawing/2014/main" id="{B3099190-F37B-45D4-8C14-0F765FC01B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523875</xdr:colOff>
      <xdr:row>5</xdr:row>
      <xdr:rowOff>0</xdr:rowOff>
    </xdr:from>
    <xdr:to>
      <xdr:col>18</xdr:col>
      <xdr:colOff>76200</xdr:colOff>
      <xdr:row>14</xdr:row>
      <xdr:rowOff>114300</xdr:rowOff>
    </xdr:to>
    <xdr:graphicFrame macro="">
      <xdr:nvGraphicFramePr>
        <xdr:cNvPr id="6" name="Chart 5">
          <a:extLst>
            <a:ext uri="{FF2B5EF4-FFF2-40B4-BE49-F238E27FC236}">
              <a16:creationId xmlns:a16="http://schemas.microsoft.com/office/drawing/2014/main" id="{D704F25A-B858-41E9-B39B-25B2AD73A2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2</xdr:colOff>
      <xdr:row>15</xdr:row>
      <xdr:rowOff>114300</xdr:rowOff>
    </xdr:from>
    <xdr:to>
      <xdr:col>6</xdr:col>
      <xdr:colOff>428625</xdr:colOff>
      <xdr:row>26</xdr:row>
      <xdr:rowOff>76200</xdr:rowOff>
    </xdr:to>
    <xdr:graphicFrame macro="">
      <xdr:nvGraphicFramePr>
        <xdr:cNvPr id="7" name="Chart 6">
          <a:extLst>
            <a:ext uri="{FF2B5EF4-FFF2-40B4-BE49-F238E27FC236}">
              <a16:creationId xmlns:a16="http://schemas.microsoft.com/office/drawing/2014/main" id="{5C7A27F2-2068-464F-A62F-208099F176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6</xdr:col>
      <xdr:colOff>419100</xdr:colOff>
      <xdr:row>15</xdr:row>
      <xdr:rowOff>114300</xdr:rowOff>
    </xdr:from>
    <xdr:to>
      <xdr:col>12</xdr:col>
      <xdr:colOff>152400</xdr:colOff>
      <xdr:row>26</xdr:row>
      <xdr:rowOff>85725</xdr:rowOff>
    </xdr:to>
    <xdr:graphicFrame macro="">
      <xdr:nvGraphicFramePr>
        <xdr:cNvPr id="8" name="Chart 7">
          <a:extLst>
            <a:ext uri="{FF2B5EF4-FFF2-40B4-BE49-F238E27FC236}">
              <a16:creationId xmlns:a16="http://schemas.microsoft.com/office/drawing/2014/main" id="{F4693327-0136-42E8-AAE4-E7307BAE80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12</xdr:col>
      <xdr:colOff>161925</xdr:colOff>
      <xdr:row>15</xdr:row>
      <xdr:rowOff>114300</xdr:rowOff>
    </xdr:from>
    <xdr:to>
      <xdr:col>18</xdr:col>
      <xdr:colOff>47625</xdr:colOff>
      <xdr:row>26</xdr:row>
      <xdr:rowOff>85725</xdr:rowOff>
    </xdr:to>
    <xdr:graphicFrame macro="">
      <xdr:nvGraphicFramePr>
        <xdr:cNvPr id="9" name="Chart 8">
          <a:extLst>
            <a:ext uri="{FF2B5EF4-FFF2-40B4-BE49-F238E27FC236}">
              <a16:creationId xmlns:a16="http://schemas.microsoft.com/office/drawing/2014/main" id="{8E432815-3A9B-4620-B4A1-752501820E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0</xdr:col>
      <xdr:colOff>0</xdr:colOff>
      <xdr:row>2</xdr:row>
      <xdr:rowOff>114302</xdr:rowOff>
    </xdr:from>
    <xdr:to>
      <xdr:col>18</xdr:col>
      <xdr:colOff>98051</xdr:colOff>
      <xdr:row>4</xdr:row>
      <xdr:rowOff>152400</xdr:rowOff>
    </xdr:to>
    <mc:AlternateContent xmlns:mc="http://schemas.openxmlformats.org/markup-compatibility/2006" xmlns:a14="http://schemas.microsoft.com/office/drawing/2010/main">
      <mc:Choice Requires="a14">
        <xdr:graphicFrame macro="">
          <xdr:nvGraphicFramePr>
            <xdr:cNvPr id="10" name="Category">
              <a:extLst>
                <a:ext uri="{FF2B5EF4-FFF2-40B4-BE49-F238E27FC236}">
                  <a16:creationId xmlns:a16="http://schemas.microsoft.com/office/drawing/2014/main" id="{FBB9DCD8-FEEE-B6B7-E830-BECF156ACFA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03679" y="506508"/>
              <a:ext cx="10582275" cy="43030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xdr:colOff>
      <xdr:row>27</xdr:row>
      <xdr:rowOff>0</xdr:rowOff>
    </xdr:from>
    <xdr:to>
      <xdr:col>6</xdr:col>
      <xdr:colOff>304800</xdr:colOff>
      <xdr:row>37</xdr:row>
      <xdr:rowOff>161925</xdr:rowOff>
    </xdr:to>
    <xdr:graphicFrame macro="">
      <xdr:nvGraphicFramePr>
        <xdr:cNvPr id="12" name="Chart 11">
          <a:extLst>
            <a:ext uri="{FF2B5EF4-FFF2-40B4-BE49-F238E27FC236}">
              <a16:creationId xmlns:a16="http://schemas.microsoft.com/office/drawing/2014/main" id="{6481005C-A468-4FCC-AF2C-8238D9B3C5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18</xdr:col>
      <xdr:colOff>154083</xdr:colOff>
      <xdr:row>8</xdr:row>
      <xdr:rowOff>140073</xdr:rowOff>
    </xdr:from>
    <xdr:to>
      <xdr:col>20</xdr:col>
      <xdr:colOff>532281</xdr:colOff>
      <xdr:row>13</xdr:row>
      <xdr:rowOff>182096</xdr:rowOff>
    </xdr:to>
    <xdr:sp macro="" textlink="">
      <xdr:nvSpPr>
        <xdr:cNvPr id="14" name="TextBox 13">
          <a:extLst>
            <a:ext uri="{FF2B5EF4-FFF2-40B4-BE49-F238E27FC236}">
              <a16:creationId xmlns:a16="http://schemas.microsoft.com/office/drawing/2014/main" id="{A61F853F-748D-43D9-633B-03A09F2BE9A8}"/>
            </a:ext>
          </a:extLst>
        </xdr:cNvPr>
        <xdr:cNvSpPr txBox="1"/>
      </xdr:nvSpPr>
      <xdr:spPr>
        <a:xfrm>
          <a:off x="10925737" y="1708897"/>
          <a:ext cx="1610845" cy="1022537"/>
        </a:xfrm>
        <a:prstGeom prst="rect">
          <a:avLst/>
        </a:prstGeom>
        <a:solidFill>
          <a:schemeClr val="accent3">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500" b="1" u="sng">
              <a:solidFill>
                <a:schemeClr val="bg1"/>
              </a:solidFill>
            </a:rPr>
            <a:t>UNIT</a:t>
          </a:r>
          <a:r>
            <a:rPr lang="en-US" sz="1500" b="1" u="sng" baseline="0">
              <a:solidFill>
                <a:schemeClr val="bg1"/>
              </a:solidFill>
            </a:rPr>
            <a:t> SOLD</a:t>
          </a:r>
        </a:p>
        <a:p>
          <a:pPr algn="ctr"/>
          <a:endParaRPr lang="en-US" sz="1500" b="1" baseline="0">
            <a:solidFill>
              <a:schemeClr val="bg1"/>
            </a:solidFill>
          </a:endParaRPr>
        </a:p>
        <a:p>
          <a:pPr algn="ctr"/>
          <a:r>
            <a:rPr lang="en-US" sz="1500" b="1" baseline="0">
              <a:solidFill>
                <a:schemeClr val="bg1"/>
              </a:solidFill>
            </a:rPr>
            <a:t>1,141</a:t>
          </a:r>
          <a:endParaRPr lang="en-US" sz="1500" b="1">
            <a:solidFill>
              <a:schemeClr val="bg1"/>
            </a:solidFill>
          </a:endParaRPr>
        </a:p>
      </xdr:txBody>
    </xdr:sp>
    <xdr:clientData/>
  </xdr:twoCellAnchor>
  <xdr:twoCellAnchor>
    <xdr:from>
      <xdr:col>18</xdr:col>
      <xdr:colOff>154087</xdr:colOff>
      <xdr:row>3</xdr:row>
      <xdr:rowOff>2</xdr:rowOff>
    </xdr:from>
    <xdr:to>
      <xdr:col>20</xdr:col>
      <xdr:colOff>546286</xdr:colOff>
      <xdr:row>8</xdr:row>
      <xdr:rowOff>28013</xdr:rowOff>
    </xdr:to>
    <xdr:sp macro="" textlink="">
      <xdr:nvSpPr>
        <xdr:cNvPr id="15" name="TextBox 14">
          <a:extLst>
            <a:ext uri="{FF2B5EF4-FFF2-40B4-BE49-F238E27FC236}">
              <a16:creationId xmlns:a16="http://schemas.microsoft.com/office/drawing/2014/main" id="{BB04EC2D-055A-4FC9-9D1E-5322E9C98C97}"/>
            </a:ext>
          </a:extLst>
        </xdr:cNvPr>
        <xdr:cNvSpPr txBox="1"/>
      </xdr:nvSpPr>
      <xdr:spPr>
        <a:xfrm>
          <a:off x="10925741" y="588311"/>
          <a:ext cx="1624846" cy="1008526"/>
        </a:xfrm>
        <a:prstGeom prst="rect">
          <a:avLst/>
        </a:prstGeom>
        <a:solidFill>
          <a:schemeClr val="accent3">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500" b="1" u="sng" baseline="0">
              <a:solidFill>
                <a:schemeClr val="bg1"/>
              </a:solidFill>
            </a:rPr>
            <a:t>TOTAL SALES</a:t>
          </a:r>
        </a:p>
        <a:p>
          <a:pPr algn="ctr"/>
          <a:endParaRPr lang="en-US" sz="1500" b="1" baseline="0">
            <a:solidFill>
              <a:schemeClr val="bg1"/>
            </a:solidFill>
          </a:endParaRPr>
        </a:p>
        <a:p>
          <a:pPr algn="ctr"/>
          <a:r>
            <a:rPr lang="en-US" sz="1500" b="1" baseline="0">
              <a:solidFill>
                <a:schemeClr val="bg1"/>
              </a:solidFill>
            </a:rPr>
            <a:t>302,680,445.00</a:t>
          </a:r>
          <a:endParaRPr lang="en-US" sz="1500" b="1">
            <a:solidFill>
              <a:schemeClr val="bg1"/>
            </a:solidFill>
          </a:endParaRPr>
        </a:p>
      </xdr:txBody>
    </xdr:sp>
    <xdr:clientData/>
  </xdr:twoCellAnchor>
  <xdr:twoCellAnchor>
    <xdr:from>
      <xdr:col>18</xdr:col>
      <xdr:colOff>154081</xdr:colOff>
      <xdr:row>14</xdr:row>
      <xdr:rowOff>84043</xdr:rowOff>
    </xdr:from>
    <xdr:to>
      <xdr:col>20</xdr:col>
      <xdr:colOff>546288</xdr:colOff>
      <xdr:row>19</xdr:row>
      <xdr:rowOff>98051</xdr:rowOff>
    </xdr:to>
    <xdr:sp macro="" textlink="">
      <xdr:nvSpPr>
        <xdr:cNvPr id="16" name="TextBox 15">
          <a:extLst>
            <a:ext uri="{FF2B5EF4-FFF2-40B4-BE49-F238E27FC236}">
              <a16:creationId xmlns:a16="http://schemas.microsoft.com/office/drawing/2014/main" id="{2182FEDB-EB73-4E65-B29D-2CA47BF42CD0}"/>
            </a:ext>
          </a:extLst>
        </xdr:cNvPr>
        <xdr:cNvSpPr txBox="1"/>
      </xdr:nvSpPr>
      <xdr:spPr>
        <a:xfrm>
          <a:off x="10925735" y="2829484"/>
          <a:ext cx="1624854" cy="994523"/>
        </a:xfrm>
        <a:prstGeom prst="rect">
          <a:avLst/>
        </a:prstGeom>
        <a:solidFill>
          <a:schemeClr val="accent3">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500" b="1" u="sng" baseline="0">
              <a:solidFill>
                <a:schemeClr val="lt1"/>
              </a:solidFill>
              <a:effectLst/>
              <a:latin typeface="+mn-lt"/>
              <a:ea typeface="+mn-ea"/>
              <a:cs typeface="+mn-cs"/>
            </a:rPr>
            <a:t>BEST SELLING </a:t>
          </a:r>
        </a:p>
        <a:p>
          <a:pPr algn="ctr"/>
          <a:r>
            <a:rPr lang="en-US" sz="1500" b="1" u="sng" baseline="0">
              <a:solidFill>
                <a:schemeClr val="lt1"/>
              </a:solidFill>
              <a:effectLst/>
              <a:latin typeface="+mn-lt"/>
              <a:ea typeface="+mn-ea"/>
              <a:cs typeface="+mn-cs"/>
            </a:rPr>
            <a:t>REGION</a:t>
          </a:r>
        </a:p>
        <a:p>
          <a:pPr algn="ctr"/>
          <a:endParaRPr lang="en-US" sz="800" u="sng">
            <a:effectLst/>
          </a:endParaRPr>
        </a:p>
        <a:p>
          <a:pPr algn="ctr"/>
          <a:r>
            <a:rPr lang="en-US" sz="1500" b="1" baseline="0">
              <a:solidFill>
                <a:schemeClr val="lt1"/>
              </a:solidFill>
              <a:effectLst/>
              <a:latin typeface="+mn-lt"/>
              <a:ea typeface="+mn-ea"/>
              <a:cs typeface="+mn-cs"/>
            </a:rPr>
            <a:t>WEST</a:t>
          </a:r>
          <a:endParaRPr lang="en-US" sz="1500">
            <a:effectLst/>
          </a:endParaRPr>
        </a:p>
        <a:p>
          <a:pPr algn="ctr"/>
          <a:endParaRPr lang="en-US" sz="1500" b="1">
            <a:solidFill>
              <a:schemeClr val="bg1"/>
            </a:solidFill>
          </a:endParaRPr>
        </a:p>
      </xdr:txBody>
    </xdr:sp>
    <xdr:clientData/>
  </xdr:twoCellAnchor>
  <xdr:twoCellAnchor>
    <xdr:from>
      <xdr:col>18</xdr:col>
      <xdr:colOff>140074</xdr:colOff>
      <xdr:row>20</xdr:row>
      <xdr:rowOff>0</xdr:rowOff>
    </xdr:from>
    <xdr:to>
      <xdr:col>20</xdr:col>
      <xdr:colOff>532281</xdr:colOff>
      <xdr:row>25</xdr:row>
      <xdr:rowOff>14008</xdr:rowOff>
    </xdr:to>
    <xdr:sp macro="" textlink="">
      <xdr:nvSpPr>
        <xdr:cNvPr id="17" name="TextBox 16">
          <a:extLst>
            <a:ext uri="{FF2B5EF4-FFF2-40B4-BE49-F238E27FC236}">
              <a16:creationId xmlns:a16="http://schemas.microsoft.com/office/drawing/2014/main" id="{0782CB5A-2BAF-4924-84A9-05D759C31C4E}"/>
            </a:ext>
          </a:extLst>
        </xdr:cNvPr>
        <xdr:cNvSpPr txBox="1"/>
      </xdr:nvSpPr>
      <xdr:spPr>
        <a:xfrm>
          <a:off x="10911728" y="3922059"/>
          <a:ext cx="1624854" cy="994523"/>
        </a:xfrm>
        <a:prstGeom prst="rect">
          <a:avLst/>
        </a:prstGeom>
        <a:solidFill>
          <a:schemeClr val="accent3">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500" b="1" u="sng" baseline="0">
              <a:solidFill>
                <a:schemeClr val="lt1"/>
              </a:solidFill>
              <a:effectLst/>
              <a:latin typeface="+mn-lt"/>
              <a:ea typeface="+mn-ea"/>
              <a:cs typeface="+mn-cs"/>
            </a:rPr>
            <a:t>BEST SALES </a:t>
          </a:r>
        </a:p>
        <a:p>
          <a:pPr algn="ctr"/>
          <a:r>
            <a:rPr lang="en-US" sz="1500" b="1" u="sng" baseline="0">
              <a:solidFill>
                <a:schemeClr val="lt1"/>
              </a:solidFill>
              <a:effectLst/>
              <a:latin typeface="+mn-lt"/>
              <a:ea typeface="+mn-ea"/>
              <a:cs typeface="+mn-cs"/>
            </a:rPr>
            <a:t>REP</a:t>
          </a:r>
        </a:p>
        <a:p>
          <a:pPr algn="ctr"/>
          <a:endParaRPr lang="en-US" sz="800" u="sng">
            <a:effectLst/>
          </a:endParaRPr>
        </a:p>
        <a:p>
          <a:pPr algn="ctr"/>
          <a:r>
            <a:rPr lang="en-US" sz="1500" b="1" baseline="0">
              <a:solidFill>
                <a:schemeClr val="lt1"/>
              </a:solidFill>
              <a:effectLst/>
              <a:latin typeface="+mn-lt"/>
              <a:ea typeface="+mn-ea"/>
              <a:cs typeface="+mn-cs"/>
            </a:rPr>
            <a:t>PETER OBI</a:t>
          </a:r>
          <a:endParaRPr lang="en-US" sz="1500" b="1">
            <a:solidFill>
              <a:schemeClr val="bg1"/>
            </a:solidFill>
          </a:endParaRPr>
        </a:p>
      </xdr:txBody>
    </xdr:sp>
    <xdr:clientData/>
  </xdr:twoCellAnchor>
  <xdr:twoCellAnchor>
    <xdr:from>
      <xdr:col>18</xdr:col>
      <xdr:colOff>126067</xdr:colOff>
      <xdr:row>25</xdr:row>
      <xdr:rowOff>112058</xdr:rowOff>
    </xdr:from>
    <xdr:to>
      <xdr:col>20</xdr:col>
      <xdr:colOff>518274</xdr:colOff>
      <xdr:row>30</xdr:row>
      <xdr:rowOff>126067</xdr:rowOff>
    </xdr:to>
    <xdr:sp macro="" textlink="">
      <xdr:nvSpPr>
        <xdr:cNvPr id="19" name="TextBox 18">
          <a:extLst>
            <a:ext uri="{FF2B5EF4-FFF2-40B4-BE49-F238E27FC236}">
              <a16:creationId xmlns:a16="http://schemas.microsoft.com/office/drawing/2014/main" id="{FCFE81AD-5455-424C-8578-0097942BB487}"/>
            </a:ext>
          </a:extLst>
        </xdr:cNvPr>
        <xdr:cNvSpPr txBox="1"/>
      </xdr:nvSpPr>
      <xdr:spPr>
        <a:xfrm>
          <a:off x="10897721" y="5014632"/>
          <a:ext cx="1624854" cy="994523"/>
        </a:xfrm>
        <a:prstGeom prst="rect">
          <a:avLst/>
        </a:prstGeom>
        <a:solidFill>
          <a:schemeClr val="accent3">
            <a:lumMod val="75000"/>
          </a:schemeClr>
        </a:solidFill>
        <a:ln/>
      </xdr:spPr>
      <xdr:style>
        <a:lnRef idx="0">
          <a:schemeClr val="accent3"/>
        </a:lnRef>
        <a:fillRef idx="3">
          <a:schemeClr val="accent3"/>
        </a:fillRef>
        <a:effectRef idx="3">
          <a:schemeClr val="accent3"/>
        </a:effectRef>
        <a:fontRef idx="minor">
          <a:schemeClr val="lt1"/>
        </a:fontRef>
      </xdr:style>
      <xdr:txBody>
        <a:bodyPr vertOverflow="clip" horzOverflow="clip" wrap="square" rtlCol="0" anchor="t"/>
        <a:lstStyle/>
        <a:p>
          <a:pPr algn="ctr"/>
          <a:r>
            <a:rPr lang="en-US" sz="1500" b="1" u="sng" baseline="0">
              <a:solidFill>
                <a:schemeClr val="lt1"/>
              </a:solidFill>
              <a:effectLst/>
              <a:latin typeface="+mn-lt"/>
              <a:ea typeface="+mn-ea"/>
              <a:cs typeface="+mn-cs"/>
            </a:rPr>
            <a:t>BEST CUSTOMER</a:t>
          </a:r>
          <a:endParaRPr lang="en-US" sz="800" u="sng">
            <a:effectLst/>
          </a:endParaRPr>
        </a:p>
        <a:p>
          <a:pPr algn="ctr"/>
          <a:endParaRPr lang="en-US" sz="900" b="1" baseline="0">
            <a:solidFill>
              <a:schemeClr val="lt1"/>
            </a:solidFill>
            <a:effectLst/>
            <a:latin typeface="+mn-lt"/>
            <a:ea typeface="+mn-ea"/>
            <a:cs typeface="+mn-cs"/>
          </a:endParaRPr>
        </a:p>
        <a:p>
          <a:pPr algn="ctr"/>
          <a:r>
            <a:rPr lang="en-US" sz="1500" b="1" baseline="0">
              <a:solidFill>
                <a:schemeClr val="lt1"/>
              </a:solidFill>
              <a:effectLst/>
              <a:latin typeface="+mn-lt"/>
              <a:ea typeface="+mn-ea"/>
              <a:cs typeface="+mn-cs"/>
            </a:rPr>
            <a:t>OMEGA WHOLESALE</a:t>
          </a:r>
          <a:endParaRPr lang="en-US" sz="1500" b="1">
            <a:solidFill>
              <a:schemeClr val="bg1"/>
            </a:solidFill>
          </a:endParaRPr>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036.529523379628" createdVersion="8" refreshedVersion="8" minRefreshableVersion="3" recordCount="100" xr:uid="{8F3F7913-8254-42A4-97FB-2F9E21F084F3}">
  <cacheSource type="worksheet">
    <worksheetSource name="Table1"/>
  </cacheSource>
  <cacheFields count="13">
    <cacheField name="Raw Date" numFmtId="14">
      <sharedItems/>
    </cacheField>
    <cacheField name="Day" numFmtId="14">
      <sharedItems/>
    </cacheField>
    <cacheField name="Month" numFmtId="14">
      <sharedItems/>
    </cacheField>
    <cacheField name="Year" numFmtId="0">
      <sharedItems containsSemiMixedTypes="0" containsString="0" containsNumber="1" containsInteger="1" minValue="2025" maxValue="2025"/>
    </cacheField>
    <cacheField name="Date" numFmtId="14">
      <sharedItems/>
    </cacheField>
    <cacheField name="Region" numFmtId="0">
      <sharedItems count="4">
        <s v="South"/>
        <s v="East"/>
        <s v="North"/>
        <s v="West"/>
      </sharedItems>
    </cacheField>
    <cacheField name="Product" numFmtId="0">
      <sharedItems count="9">
        <s v="Laptopa15"/>
        <s v="Tv43Q"/>
        <s v="Phonex12"/>
        <s v="Monitorm24"/>
        <s v="Camerac100"/>
        <s v="Tablett8"/>
        <s v="Speakers10"/>
        <s v="Camerac010"/>
        <s v="Unknown"/>
      </sharedItems>
    </cacheField>
    <cacheField name="Category" numFmtId="0">
      <sharedItems count="6">
        <s v="Computers"/>
        <s v="Electronics"/>
        <s v="Mobile"/>
        <s v="Peripherals"/>
        <s v="Photography"/>
        <s v="Audio"/>
      </sharedItems>
    </cacheField>
    <cacheField name="Units Sold" numFmtId="0">
      <sharedItems containsSemiMixedTypes="0" containsString="0" containsNumber="1" containsInteger="1" minValue="1" maxValue="20"/>
    </cacheField>
    <cacheField name="Unit Price" numFmtId="43">
      <sharedItems containsSemiMixedTypes="0" containsString="0" containsNumber="1" containsInteger="1" minValue="3500" maxValue="2500000"/>
    </cacheField>
    <cacheField name="Total Sales" numFmtId="43">
      <sharedItems containsSemiMixedTypes="0" containsString="0" containsNumber="1" containsInteger="1" minValue="59500" maxValue="50000000"/>
    </cacheField>
    <cacheField name="Sales Rep" numFmtId="0">
      <sharedItems count="10">
        <s v="PETEROBI"/>
        <s v="IFEANYIOKAFOR"/>
        <s v="FOLABALOGUN"/>
        <s v="AISHABELLO"/>
        <s v="CHINEDUNWOSU"/>
        <s v="MARYJOHN"/>
        <s v="GRACEAMOS"/>
        <s v="JOBAUSTIN"/>
        <s v="ABAJOEL"/>
        <s v="PRAISEODUNAYO"/>
      </sharedItems>
    </cacheField>
    <cacheField name="Customer" numFmtId="0">
      <sharedItems count="12">
        <s v="Bright Solutions"/>
        <s v="Musa Enterprrises"/>
        <s v="Zainab Global"/>
        <s v="Jide Superstores"/>
        <s v="Chika Mart"/>
        <s v="Adewale Stores"/>
        <s v="Omega Wholesale"/>
        <s v="Kelvin Tech"/>
        <s v="Emeka Traders"/>
        <s v="Tola Ventures"/>
        <s v="Femi Tech"/>
        <s v="Tope &amp; Sons"/>
      </sharedItems>
    </cacheField>
  </cacheFields>
  <extLst>
    <ext xmlns:x14="http://schemas.microsoft.com/office/spreadsheetml/2009/9/main" uri="{725AE2AE-9491-48be-B2B4-4EB974FC3084}">
      <x14:pivotCacheDefinition pivotCacheId="17450606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
  <r>
    <s v="45821"/>
    <s v="13"/>
    <s v="Jun"/>
    <n v="2025"/>
    <s v="13-Jun-2025"/>
    <x v="0"/>
    <x v="0"/>
    <x v="0"/>
    <n v="8"/>
    <n v="2500000"/>
    <n v="20000000"/>
    <x v="0"/>
    <x v="0"/>
  </r>
  <r>
    <s v="45755"/>
    <s v="8"/>
    <s v="Apr"/>
    <n v="2025"/>
    <s v="8-Apr-2025"/>
    <x v="1"/>
    <x v="1"/>
    <x v="1"/>
    <n v="6"/>
    <n v="350000"/>
    <n v="2100000"/>
    <x v="1"/>
    <x v="1"/>
  </r>
  <r>
    <s v="45686"/>
    <s v="29"/>
    <s v="Jan"/>
    <n v="2025"/>
    <s v="29-Jan-2025"/>
    <x v="2"/>
    <x v="2"/>
    <x v="2"/>
    <n v="14"/>
    <n v="180000"/>
    <n v="2520000"/>
    <x v="2"/>
    <x v="2"/>
  </r>
  <r>
    <s v="17MAY2025"/>
    <s v="17"/>
    <s v="MAY"/>
    <n v="2025"/>
    <s v="17-MAY-2025"/>
    <x v="0"/>
    <x v="3"/>
    <x v="3"/>
    <n v="18"/>
    <n v="65000"/>
    <n v="1170000"/>
    <x v="1"/>
    <x v="3"/>
  </r>
  <r>
    <s v="28JAN2025"/>
    <s v="28"/>
    <s v="Jan"/>
    <n v="2025"/>
    <s v="28-JAN-2025"/>
    <x v="3"/>
    <x v="2"/>
    <x v="2"/>
    <n v="5"/>
    <n v="180000"/>
    <n v="900000"/>
    <x v="0"/>
    <x v="4"/>
  </r>
  <r>
    <s v="26MAY2025"/>
    <s v="26"/>
    <s v="MAY"/>
    <n v="2025"/>
    <s v="26-MAY-2025"/>
    <x v="1"/>
    <x v="2"/>
    <x v="2"/>
    <n v="19"/>
    <n v="157427"/>
    <n v="2991113"/>
    <x v="1"/>
    <x v="1"/>
  </r>
  <r>
    <s v="06MAY2025"/>
    <s v="06"/>
    <s v="MAY"/>
    <n v="2025"/>
    <s v="06-MAY-2025"/>
    <x v="3"/>
    <x v="1"/>
    <x v="1"/>
    <n v="3"/>
    <n v="350000"/>
    <n v="1050000"/>
    <x v="3"/>
    <x v="4"/>
  </r>
  <r>
    <s v="10FEB2025"/>
    <s v="10"/>
    <s v="FEB"/>
    <n v="2025"/>
    <s v="10-FEB-2025"/>
    <x v="3"/>
    <x v="3"/>
    <x v="3"/>
    <n v="2"/>
    <n v="65000"/>
    <n v="130000"/>
    <x v="0"/>
    <x v="1"/>
  </r>
  <r>
    <s v="01FEB2025"/>
    <s v="01"/>
    <s v="FEB"/>
    <n v="2025"/>
    <s v="01-FEB-2025"/>
    <x v="1"/>
    <x v="4"/>
    <x v="4"/>
    <n v="14"/>
    <n v="175000"/>
    <n v="2450000"/>
    <x v="2"/>
    <x v="0"/>
  </r>
  <r>
    <s v="28JUN2025"/>
    <s v="28"/>
    <s v="Jun"/>
    <n v="2025"/>
    <s v="28-JUN-2025"/>
    <x v="3"/>
    <x v="5"/>
    <x v="2"/>
    <n v="4"/>
    <n v="150000"/>
    <n v="600000"/>
    <x v="0"/>
    <x v="5"/>
  </r>
  <r>
    <s v="18APR2025"/>
    <s v="18"/>
    <s v="Apr"/>
    <n v="2025"/>
    <s v="18-APR-2025"/>
    <x v="0"/>
    <x v="5"/>
    <x v="2"/>
    <n v="20"/>
    <n v="150000"/>
    <n v="3000000"/>
    <x v="2"/>
    <x v="1"/>
  </r>
  <r>
    <s v="25FEB2025"/>
    <s v="25"/>
    <s v="FEB"/>
    <n v="2025"/>
    <s v="25-FEB-2025"/>
    <x v="2"/>
    <x v="6"/>
    <x v="5"/>
    <n v="6"/>
    <n v="85000"/>
    <n v="510000"/>
    <x v="3"/>
    <x v="6"/>
  </r>
  <r>
    <s v="29APR2025"/>
    <s v="29"/>
    <s v="Apr"/>
    <n v="2025"/>
    <s v="29-APR-2025"/>
    <x v="3"/>
    <x v="5"/>
    <x v="2"/>
    <n v="1"/>
    <n v="150000"/>
    <n v="150000"/>
    <x v="3"/>
    <x v="7"/>
  </r>
  <r>
    <s v="02FEB2025"/>
    <s v="02"/>
    <s v="FEB"/>
    <n v="2025"/>
    <s v="02-FEB-2025"/>
    <x v="1"/>
    <x v="1"/>
    <x v="1"/>
    <n v="18"/>
    <n v="35000"/>
    <n v="630000"/>
    <x v="4"/>
    <x v="8"/>
  </r>
  <r>
    <s v="15APR2025"/>
    <s v="15"/>
    <s v="Apr"/>
    <n v="2025"/>
    <s v="15-APR-2025"/>
    <x v="0"/>
    <x v="6"/>
    <x v="5"/>
    <n v="2"/>
    <n v="85000"/>
    <n v="170000"/>
    <x v="1"/>
    <x v="0"/>
  </r>
  <r>
    <s v="12JUN2025"/>
    <s v="12"/>
    <s v="Jun"/>
    <n v="2025"/>
    <s v="12-JUN-2025"/>
    <x v="1"/>
    <x v="3"/>
    <x v="3"/>
    <n v="11"/>
    <n v="62035"/>
    <n v="682385"/>
    <x v="4"/>
    <x v="9"/>
  </r>
  <r>
    <s v="31JAN2025"/>
    <s v="31"/>
    <s v="Jan"/>
    <n v="2025"/>
    <s v="31-JAN-2025"/>
    <x v="1"/>
    <x v="4"/>
    <x v="4"/>
    <n v="10"/>
    <n v="175000"/>
    <n v="1750000"/>
    <x v="2"/>
    <x v="6"/>
  </r>
  <r>
    <s v="02FEB2025"/>
    <s v="02"/>
    <s v="FEB"/>
    <n v="2025"/>
    <s v="02-FEB-2025"/>
    <x v="3"/>
    <x v="5"/>
    <x v="2"/>
    <n v="4"/>
    <n v="150000"/>
    <n v="600000"/>
    <x v="5"/>
    <x v="3"/>
  </r>
  <r>
    <s v="25MAY2025"/>
    <s v="25"/>
    <s v="MAY"/>
    <n v="2025"/>
    <s v="25-MAY-2025"/>
    <x v="3"/>
    <x v="4"/>
    <x v="4"/>
    <n v="3"/>
    <n v="175000"/>
    <n v="525000"/>
    <x v="6"/>
    <x v="10"/>
  </r>
  <r>
    <s v="26FEB2025"/>
    <s v="26"/>
    <s v="FEB"/>
    <n v="2025"/>
    <s v="26-FEB-2025"/>
    <x v="2"/>
    <x v="4"/>
    <x v="4"/>
    <n v="5"/>
    <n v="175000"/>
    <n v="875000"/>
    <x v="4"/>
    <x v="10"/>
  </r>
  <r>
    <s v="06APR2025"/>
    <s v="06"/>
    <s v="Apr"/>
    <n v="2025"/>
    <s v="06-APR-2025"/>
    <x v="1"/>
    <x v="0"/>
    <x v="0"/>
    <n v="20"/>
    <n v="250000"/>
    <n v="5000000"/>
    <x v="6"/>
    <x v="1"/>
  </r>
  <r>
    <s v="24FEB2025"/>
    <s v="24"/>
    <s v="FEB"/>
    <n v="2025"/>
    <s v="24-FEB-2025"/>
    <x v="1"/>
    <x v="4"/>
    <x v="4"/>
    <n v="2"/>
    <n v="175000"/>
    <n v="350000"/>
    <x v="0"/>
    <x v="8"/>
  </r>
  <r>
    <s v="24MAR2025"/>
    <s v="24"/>
    <s v="MAR"/>
    <n v="2025"/>
    <s v="24-MAR-2025"/>
    <x v="1"/>
    <x v="5"/>
    <x v="2"/>
    <n v="20"/>
    <n v="150000"/>
    <n v="3000000"/>
    <x v="2"/>
    <x v="1"/>
  </r>
  <r>
    <s v="28MAY2025"/>
    <s v="28"/>
    <s v="MAY"/>
    <n v="2025"/>
    <s v="28-MAY-2025"/>
    <x v="2"/>
    <x v="5"/>
    <x v="2"/>
    <n v="8"/>
    <n v="150000"/>
    <n v="1200000"/>
    <x v="1"/>
    <x v="6"/>
  </r>
  <r>
    <s v="12MAY2025"/>
    <s v="12"/>
    <s v="MAY"/>
    <n v="2025"/>
    <s v="12-MAY-2025"/>
    <x v="3"/>
    <x v="0"/>
    <x v="0"/>
    <n v="19"/>
    <n v="250000"/>
    <n v="4750000"/>
    <x v="6"/>
    <x v="10"/>
  </r>
  <r>
    <s v="11MAY2025"/>
    <s v="11"/>
    <s v="MAY"/>
    <n v="2025"/>
    <s v="11-MAY-2025"/>
    <x v="1"/>
    <x v="7"/>
    <x v="4"/>
    <n v="12"/>
    <n v="175000"/>
    <n v="2100000"/>
    <x v="4"/>
    <x v="6"/>
  </r>
  <r>
    <s v="16JAN2025"/>
    <s v="16"/>
    <s v="Jan"/>
    <n v="2025"/>
    <s v="16-JAN-2025"/>
    <x v="2"/>
    <x v="6"/>
    <x v="5"/>
    <n v="11"/>
    <n v="85000"/>
    <n v="935000"/>
    <x v="6"/>
    <x v="10"/>
  </r>
  <r>
    <s v="10MAY2025"/>
    <s v="10"/>
    <s v="MAY"/>
    <n v="2025"/>
    <s v="10-MAY-2025"/>
    <x v="2"/>
    <x v="3"/>
    <x v="3"/>
    <n v="17"/>
    <n v="65000"/>
    <n v="1105000"/>
    <x v="4"/>
    <x v="7"/>
  </r>
  <r>
    <s v="01FEB2025"/>
    <s v="01"/>
    <s v="FEB"/>
    <n v="2025"/>
    <s v="01-FEB-2025"/>
    <x v="0"/>
    <x v="1"/>
    <x v="1"/>
    <n v="15"/>
    <n v="350000"/>
    <n v="5250000"/>
    <x v="7"/>
    <x v="2"/>
  </r>
  <r>
    <s v="06FEB2025"/>
    <s v="06"/>
    <s v="FEB"/>
    <n v="2025"/>
    <s v="06-FEB-2025"/>
    <x v="3"/>
    <x v="1"/>
    <x v="1"/>
    <n v="8"/>
    <n v="350000"/>
    <n v="2800000"/>
    <x v="0"/>
    <x v="10"/>
  </r>
  <r>
    <s v="17JUN2025"/>
    <s v="17"/>
    <s v="Jun"/>
    <n v="2025"/>
    <s v="17-JUN-2025"/>
    <x v="3"/>
    <x v="1"/>
    <x v="1"/>
    <n v="14"/>
    <n v="350000"/>
    <n v="4900000"/>
    <x v="4"/>
    <x v="11"/>
  </r>
  <r>
    <s v="09JAN2025"/>
    <s v="09"/>
    <s v="Jan"/>
    <n v="2025"/>
    <s v="09-JAN-2025"/>
    <x v="1"/>
    <x v="5"/>
    <x v="2"/>
    <n v="12"/>
    <n v="150000"/>
    <n v="1800000"/>
    <x v="2"/>
    <x v="5"/>
  </r>
  <r>
    <s v="29JUN2025"/>
    <s v="29"/>
    <s v="Jun"/>
    <n v="2025"/>
    <s v="29-JUN-2025"/>
    <x v="2"/>
    <x v="4"/>
    <x v="4"/>
    <n v="8"/>
    <n v="175000"/>
    <n v="1400000"/>
    <x v="0"/>
    <x v="5"/>
  </r>
  <r>
    <s v="19MAR2025"/>
    <s v="19"/>
    <s v="MAR"/>
    <n v="2025"/>
    <s v="19-MAR-2025"/>
    <x v="0"/>
    <x v="5"/>
    <x v="2"/>
    <n v="6"/>
    <n v="150000"/>
    <n v="900000"/>
    <x v="0"/>
    <x v="10"/>
  </r>
  <r>
    <s v="06FEB2025"/>
    <s v="06"/>
    <s v="FEB"/>
    <n v="2025"/>
    <s v="06-FEB-2025"/>
    <x v="3"/>
    <x v="0"/>
    <x v="0"/>
    <n v="20"/>
    <n v="2500000"/>
    <n v="50000000"/>
    <x v="0"/>
    <x v="6"/>
  </r>
  <r>
    <s v="06APR2025"/>
    <s v="06"/>
    <s v="Apr"/>
    <n v="2025"/>
    <s v="06-APR-2025"/>
    <x v="0"/>
    <x v="3"/>
    <x v="3"/>
    <n v="12"/>
    <n v="65000"/>
    <n v="780000"/>
    <x v="0"/>
    <x v="1"/>
  </r>
  <r>
    <s v="07FEB2025"/>
    <s v="07"/>
    <s v="FEB"/>
    <n v="2025"/>
    <s v="07-FEB-2025"/>
    <x v="0"/>
    <x v="3"/>
    <x v="3"/>
    <n v="4"/>
    <n v="73740"/>
    <n v="294960"/>
    <x v="5"/>
    <x v="11"/>
  </r>
  <r>
    <s v="07MAR2025"/>
    <s v="07"/>
    <s v="MAR"/>
    <n v="2025"/>
    <s v="07-MAR-2025"/>
    <x v="1"/>
    <x v="4"/>
    <x v="4"/>
    <n v="18"/>
    <n v="175000"/>
    <n v="3150000"/>
    <x v="6"/>
    <x v="0"/>
  </r>
  <r>
    <s v="07MAY2025"/>
    <s v="07"/>
    <s v="MAY"/>
    <n v="2025"/>
    <s v="07-MAY-2025"/>
    <x v="2"/>
    <x v="2"/>
    <x v="2"/>
    <n v="10"/>
    <n v="180000"/>
    <n v="1800000"/>
    <x v="5"/>
    <x v="4"/>
  </r>
  <r>
    <s v="30JUN2025"/>
    <s v="30"/>
    <s v="Jun"/>
    <n v="2025"/>
    <s v="30-JUN-2025"/>
    <x v="1"/>
    <x v="8"/>
    <x v="3"/>
    <n v="10"/>
    <n v="65000"/>
    <n v="650000"/>
    <x v="8"/>
    <x v="1"/>
  </r>
  <r>
    <s v="25FEB2025"/>
    <s v="25"/>
    <s v="FEB"/>
    <n v="2025"/>
    <s v="25-FEB-2025"/>
    <x v="2"/>
    <x v="5"/>
    <x v="2"/>
    <n v="3"/>
    <n v="150000"/>
    <n v="450000"/>
    <x v="5"/>
    <x v="11"/>
  </r>
  <r>
    <s v="13JAN2025"/>
    <s v="13"/>
    <s v="Jan"/>
    <n v="2025"/>
    <s v="13-JAN-2025"/>
    <x v="0"/>
    <x v="2"/>
    <x v="2"/>
    <n v="8"/>
    <n v="180000"/>
    <n v="1440000"/>
    <x v="3"/>
    <x v="6"/>
  </r>
  <r>
    <s v="15JUN2025"/>
    <s v="15"/>
    <s v="Jun"/>
    <n v="2025"/>
    <s v="15-JUN-2025"/>
    <x v="0"/>
    <x v="0"/>
    <x v="0"/>
    <n v="3"/>
    <n v="250000"/>
    <n v="750000"/>
    <x v="5"/>
    <x v="4"/>
  </r>
  <r>
    <s v="28FEB2025"/>
    <s v="28"/>
    <s v="FEB"/>
    <n v="2025"/>
    <s v="28-FEB-2025"/>
    <x v="1"/>
    <x v="6"/>
    <x v="5"/>
    <n v="18"/>
    <n v="85000"/>
    <n v="1530000"/>
    <x v="1"/>
    <x v="5"/>
  </r>
  <r>
    <s v="19FEB2025"/>
    <s v="19"/>
    <s v="FEB"/>
    <n v="2025"/>
    <s v="19-FEB-2025"/>
    <x v="3"/>
    <x v="5"/>
    <x v="2"/>
    <n v="9"/>
    <n v="150000"/>
    <n v="1350000"/>
    <x v="5"/>
    <x v="7"/>
  </r>
  <r>
    <s v="03MAR2025"/>
    <s v="03"/>
    <s v="MAR"/>
    <n v="2025"/>
    <s v="03-MAR-2025"/>
    <x v="1"/>
    <x v="5"/>
    <x v="2"/>
    <n v="18"/>
    <n v="150000"/>
    <n v="2700000"/>
    <x v="2"/>
    <x v="5"/>
  </r>
  <r>
    <s v="01APR2025"/>
    <s v="01"/>
    <s v="Apr"/>
    <n v="2025"/>
    <s v="01-APR-2025"/>
    <x v="3"/>
    <x v="5"/>
    <x v="2"/>
    <n v="11"/>
    <n v="150000"/>
    <n v="1650000"/>
    <x v="5"/>
    <x v="4"/>
  </r>
  <r>
    <s v="07APR2025"/>
    <s v="07"/>
    <s v="Apr"/>
    <n v="2025"/>
    <s v="07-APR-2025"/>
    <x v="0"/>
    <x v="1"/>
    <x v="1"/>
    <n v="4"/>
    <n v="350000"/>
    <n v="1400000"/>
    <x v="6"/>
    <x v="3"/>
  </r>
  <r>
    <s v="26FEB2025"/>
    <s v="26"/>
    <s v="FEB"/>
    <n v="2025"/>
    <s v="26-FEB-2025"/>
    <x v="0"/>
    <x v="5"/>
    <x v="2"/>
    <n v="19"/>
    <n v="150000"/>
    <n v="2850000"/>
    <x v="9"/>
    <x v="7"/>
  </r>
  <r>
    <s v="01JUN2025"/>
    <s v="01"/>
    <s v="Jun"/>
    <n v="2025"/>
    <s v="01-JUN-2025"/>
    <x v="1"/>
    <x v="6"/>
    <x v="5"/>
    <n v="7"/>
    <n v="85000"/>
    <n v="595000"/>
    <x v="3"/>
    <x v="0"/>
  </r>
  <r>
    <s v="14JAN2025"/>
    <s v="14"/>
    <s v="Jan"/>
    <n v="2025"/>
    <s v="14-JAN-2025"/>
    <x v="3"/>
    <x v="3"/>
    <x v="3"/>
    <n v="13"/>
    <n v="57912"/>
    <n v="752856"/>
    <x v="2"/>
    <x v="10"/>
  </r>
  <r>
    <s v="22FEB2025"/>
    <s v="22"/>
    <s v="FEB"/>
    <n v="2025"/>
    <s v="22-FEB-2025"/>
    <x v="1"/>
    <x v="3"/>
    <x v="3"/>
    <n v="18"/>
    <n v="650000"/>
    <n v="11700000"/>
    <x v="6"/>
    <x v="3"/>
  </r>
  <r>
    <s v="24AMR2025"/>
    <s v="24"/>
    <s v="MAR"/>
    <n v="2025"/>
    <s v="24-MAR-2025"/>
    <x v="3"/>
    <x v="3"/>
    <x v="3"/>
    <n v="5"/>
    <n v="65000"/>
    <n v="325000"/>
    <x v="3"/>
    <x v="7"/>
  </r>
  <r>
    <s v="27JAN2025"/>
    <s v="27"/>
    <s v="Jan"/>
    <n v="2025"/>
    <s v="27-JAN-2025"/>
    <x v="0"/>
    <x v="1"/>
    <x v="1"/>
    <n v="13"/>
    <n v="350000"/>
    <n v="4550000"/>
    <x v="4"/>
    <x v="10"/>
  </r>
  <r>
    <s v="04JNA2025"/>
    <s v="04"/>
    <s v="Jan"/>
    <n v="2025"/>
    <s v="04-JAN-2025"/>
    <x v="3"/>
    <x v="1"/>
    <x v="1"/>
    <n v="19"/>
    <n v="350000"/>
    <n v="6650000"/>
    <x v="1"/>
    <x v="3"/>
  </r>
  <r>
    <s v="08MAR2025"/>
    <s v="08"/>
    <s v="MAR"/>
    <n v="2025"/>
    <s v="08-MAR-2025"/>
    <x v="2"/>
    <x v="2"/>
    <x v="2"/>
    <n v="9"/>
    <n v="180000"/>
    <n v="1620000"/>
    <x v="3"/>
    <x v="5"/>
  </r>
  <r>
    <s v="23JAN2025"/>
    <s v="23"/>
    <s v="Jan"/>
    <n v="2025"/>
    <s v="23-JAN-2025"/>
    <x v="1"/>
    <x v="5"/>
    <x v="2"/>
    <n v="10"/>
    <n v="150000"/>
    <n v="1500000"/>
    <x v="4"/>
    <x v="1"/>
  </r>
  <r>
    <s v="16JAN2025"/>
    <s v="16"/>
    <s v="Jan"/>
    <n v="2025"/>
    <s v="16-JAN-2025"/>
    <x v="1"/>
    <x v="6"/>
    <x v="5"/>
    <n v="10"/>
    <n v="85000"/>
    <n v="850000"/>
    <x v="3"/>
    <x v="7"/>
  </r>
  <r>
    <s v="05FEB2025"/>
    <s v="05"/>
    <s v="FEB"/>
    <n v="2025"/>
    <s v="05-FEB-2025"/>
    <x v="0"/>
    <x v="0"/>
    <x v="0"/>
    <n v="5"/>
    <n v="25000"/>
    <n v="125000"/>
    <x v="3"/>
    <x v="2"/>
  </r>
  <r>
    <s v="25MAY2025"/>
    <s v="25"/>
    <s v="MAY"/>
    <n v="2025"/>
    <s v="25-MAY-2025"/>
    <x v="1"/>
    <x v="5"/>
    <x v="2"/>
    <n v="1"/>
    <n v="150000"/>
    <n v="150000"/>
    <x v="6"/>
    <x v="1"/>
  </r>
  <r>
    <s v="06JAN2025"/>
    <s v="06"/>
    <s v="Jan"/>
    <n v="2025"/>
    <s v="06-JAN-2025"/>
    <x v="0"/>
    <x v="5"/>
    <x v="2"/>
    <n v="20"/>
    <n v="150000"/>
    <n v="3000000"/>
    <x v="3"/>
    <x v="8"/>
  </r>
  <r>
    <s v="06FEB2025"/>
    <s v="06"/>
    <s v="FEB"/>
    <n v="2025"/>
    <s v="06-FEB-2025"/>
    <x v="0"/>
    <x v="1"/>
    <x v="1"/>
    <n v="11"/>
    <n v="350000"/>
    <n v="3850000"/>
    <x v="4"/>
    <x v="9"/>
  </r>
  <r>
    <s v="14JAN2025"/>
    <s v="14"/>
    <s v="Jan"/>
    <n v="2025"/>
    <s v="14-JAN-2025"/>
    <x v="1"/>
    <x v="0"/>
    <x v="0"/>
    <n v="14"/>
    <n v="250000"/>
    <n v="3500000"/>
    <x v="4"/>
    <x v="4"/>
  </r>
  <r>
    <s v="02MAY2025"/>
    <s v="02"/>
    <s v="MAY"/>
    <n v="2025"/>
    <s v="02-MAY-2025"/>
    <x v="3"/>
    <x v="5"/>
    <x v="2"/>
    <n v="3"/>
    <n v="150000"/>
    <n v="450000"/>
    <x v="3"/>
    <x v="0"/>
  </r>
  <r>
    <s v="17JUN2205"/>
    <s v="17"/>
    <s v="Jun"/>
    <n v="2025"/>
    <s v="17-JUN-2025"/>
    <x v="1"/>
    <x v="6"/>
    <x v="5"/>
    <n v="6"/>
    <n v="85000"/>
    <n v="510000"/>
    <x v="2"/>
    <x v="8"/>
  </r>
  <r>
    <s v="13JAN2025"/>
    <s v="13"/>
    <s v="Jan"/>
    <n v="2025"/>
    <s v="13-JAN-2025"/>
    <x v="3"/>
    <x v="1"/>
    <x v="1"/>
    <n v="15"/>
    <n v="350000"/>
    <n v="5250000"/>
    <x v="4"/>
    <x v="9"/>
  </r>
  <r>
    <s v="02JUN2025"/>
    <s v="02"/>
    <s v="Jun"/>
    <n v="2025"/>
    <s v="02-JUN-2025"/>
    <x v="2"/>
    <x v="5"/>
    <x v="2"/>
    <n v="16"/>
    <n v="150000"/>
    <n v="2400000"/>
    <x v="1"/>
    <x v="4"/>
  </r>
  <r>
    <s v="16FEB2025"/>
    <s v="16"/>
    <s v="FEB"/>
    <n v="2025"/>
    <s v="16-FEB-2025"/>
    <x v="1"/>
    <x v="4"/>
    <x v="4"/>
    <n v="8"/>
    <n v="175000"/>
    <n v="1400000"/>
    <x v="0"/>
    <x v="0"/>
  </r>
  <r>
    <s v="14APR2025"/>
    <s v="14"/>
    <s v="Apr"/>
    <n v="2025"/>
    <s v="14-APR-2025"/>
    <x v="0"/>
    <x v="6"/>
    <x v="5"/>
    <n v="2"/>
    <n v="85000"/>
    <n v="170000"/>
    <x v="4"/>
    <x v="7"/>
  </r>
  <r>
    <s v="06JAN2025"/>
    <s v="06"/>
    <s v="Jan"/>
    <n v="2025"/>
    <s v="06-JAN-2025"/>
    <x v="2"/>
    <x v="0"/>
    <x v="0"/>
    <n v="13"/>
    <n v="250000"/>
    <n v="3250000"/>
    <x v="6"/>
    <x v="4"/>
  </r>
  <r>
    <s v="11JAN2025"/>
    <s v="11"/>
    <s v="Jan"/>
    <n v="2025"/>
    <s v="11-JAN-2025"/>
    <x v="3"/>
    <x v="3"/>
    <x v="3"/>
    <n v="11"/>
    <n v="65000"/>
    <n v="715000"/>
    <x v="4"/>
    <x v="9"/>
  </r>
  <r>
    <s v="17JUN2025"/>
    <s v="17"/>
    <s v="Jun"/>
    <n v="2025"/>
    <s v="17-JUN-2025"/>
    <x v="0"/>
    <x v="1"/>
    <x v="1"/>
    <n v="17"/>
    <n v="3500"/>
    <n v="59500"/>
    <x v="4"/>
    <x v="6"/>
  </r>
  <r>
    <s v="14JAN2025"/>
    <s v="14"/>
    <s v="Jan"/>
    <n v="2025"/>
    <s v="14-JAN-2025"/>
    <x v="3"/>
    <x v="3"/>
    <x v="3"/>
    <n v="18"/>
    <n v="65000"/>
    <n v="1170000"/>
    <x v="4"/>
    <x v="10"/>
  </r>
  <r>
    <s v="29MAY2025"/>
    <s v="29"/>
    <s v="MAY"/>
    <n v="2025"/>
    <s v="29-MAY-2025"/>
    <x v="1"/>
    <x v="2"/>
    <x v="2"/>
    <n v="13"/>
    <n v="180000"/>
    <n v="2340000"/>
    <x v="6"/>
    <x v="2"/>
  </r>
  <r>
    <s v="15MAR2025"/>
    <s v="15"/>
    <s v="MAR"/>
    <n v="2025"/>
    <s v="15-MAR-2025"/>
    <x v="0"/>
    <x v="4"/>
    <x v="4"/>
    <n v="10"/>
    <n v="175000"/>
    <n v="1750000"/>
    <x v="3"/>
    <x v="3"/>
  </r>
  <r>
    <s v="26MAR2025"/>
    <s v="26"/>
    <s v="MAR"/>
    <n v="2025"/>
    <s v="26-MAR-2025"/>
    <x v="1"/>
    <x v="6"/>
    <x v="5"/>
    <n v="5"/>
    <n v="85000"/>
    <n v="425000"/>
    <x v="6"/>
    <x v="5"/>
  </r>
  <r>
    <s v="12JAN2025"/>
    <s v="12"/>
    <s v="Jan"/>
    <n v="2025"/>
    <s v="12-JAN-2025"/>
    <x v="2"/>
    <x v="1"/>
    <x v="1"/>
    <n v="17"/>
    <n v="350000"/>
    <n v="5950000"/>
    <x v="5"/>
    <x v="8"/>
  </r>
  <r>
    <s v="23JAN2025"/>
    <s v="23"/>
    <s v="Jan"/>
    <n v="2025"/>
    <s v="23-JAN-2025"/>
    <x v="2"/>
    <x v="1"/>
    <x v="1"/>
    <n v="13"/>
    <n v="350000"/>
    <n v="4550000"/>
    <x v="2"/>
    <x v="8"/>
  </r>
  <r>
    <s v="05MAY2025"/>
    <s v="05"/>
    <s v="MAY"/>
    <n v="2025"/>
    <s v="05-MAY-2025"/>
    <x v="2"/>
    <x v="1"/>
    <x v="1"/>
    <n v="8"/>
    <n v="350000"/>
    <n v="2800000"/>
    <x v="1"/>
    <x v="1"/>
  </r>
  <r>
    <s v="19MAY2025"/>
    <s v="19"/>
    <s v="MAY"/>
    <n v="2025"/>
    <s v="19-MAY-2025"/>
    <x v="0"/>
    <x v="6"/>
    <x v="5"/>
    <n v="13"/>
    <n v="85000"/>
    <n v="1105000"/>
    <x v="3"/>
    <x v="1"/>
  </r>
  <r>
    <s v="04APR2025"/>
    <s v="04"/>
    <s v="Apr"/>
    <n v="2025"/>
    <s v="04-APR-2025"/>
    <x v="1"/>
    <x v="5"/>
    <x v="2"/>
    <n v="17"/>
    <n v="150000"/>
    <n v="2550000"/>
    <x v="2"/>
    <x v="1"/>
  </r>
  <r>
    <s v="26FEB2025"/>
    <s v="26"/>
    <s v="FEB"/>
    <n v="2025"/>
    <s v="26-FEB-2025"/>
    <x v="0"/>
    <x v="3"/>
    <x v="3"/>
    <n v="19"/>
    <n v="65000"/>
    <n v="1235000"/>
    <x v="6"/>
    <x v="10"/>
  </r>
  <r>
    <s v="03JUN2025"/>
    <s v="03"/>
    <s v="Jun"/>
    <n v="2025"/>
    <s v="03-JUN-2025"/>
    <x v="2"/>
    <x v="5"/>
    <x v="2"/>
    <n v="1"/>
    <n v="150000"/>
    <n v="150000"/>
    <x v="6"/>
    <x v="5"/>
  </r>
  <r>
    <s v="05APR2025"/>
    <s v="05"/>
    <s v="Apr"/>
    <n v="2025"/>
    <s v="05-APR-2025"/>
    <x v="1"/>
    <x v="0"/>
    <x v="0"/>
    <n v="13"/>
    <n v="250000"/>
    <n v="3250000"/>
    <x v="4"/>
    <x v="1"/>
  </r>
  <r>
    <s v="30JAN2025"/>
    <s v="30"/>
    <s v="Jan"/>
    <n v="2025"/>
    <s v="30-JAN-2025"/>
    <x v="1"/>
    <x v="3"/>
    <x v="3"/>
    <n v="18"/>
    <n v="65000"/>
    <n v="1170000"/>
    <x v="4"/>
    <x v="11"/>
  </r>
  <r>
    <s v="31JAN2025"/>
    <s v="31"/>
    <s v="Jan"/>
    <n v="2025"/>
    <s v="31-JAN-2025"/>
    <x v="2"/>
    <x v="0"/>
    <x v="0"/>
    <n v="20"/>
    <n v="250000"/>
    <n v="5000000"/>
    <x v="3"/>
    <x v="6"/>
  </r>
  <r>
    <s v="27MAY0225"/>
    <s v="27"/>
    <s v="MAY"/>
    <n v="2025"/>
    <s v="27-MAY-2025"/>
    <x v="1"/>
    <x v="2"/>
    <x v="2"/>
    <n v="4"/>
    <n v="180000"/>
    <n v="720000"/>
    <x v="3"/>
    <x v="1"/>
  </r>
  <r>
    <s v="08PAR2025"/>
    <s v="08"/>
    <s v="Apr"/>
    <n v="2025"/>
    <s v="08-APR-2025"/>
    <x v="0"/>
    <x v="5"/>
    <x v="2"/>
    <n v="5"/>
    <n v="150000"/>
    <n v="750000"/>
    <x v="4"/>
    <x v="5"/>
  </r>
  <r>
    <s v="13FEB2025"/>
    <s v="13"/>
    <s v="FEB"/>
    <n v="2025"/>
    <s v="13-FEB-2025"/>
    <x v="3"/>
    <x v="0"/>
    <x v="0"/>
    <n v="11"/>
    <n v="2500000"/>
    <n v="27500000"/>
    <x v="2"/>
    <x v="6"/>
  </r>
  <r>
    <s v="09AMR2025"/>
    <s v="09"/>
    <s v="MAR"/>
    <n v="2025"/>
    <s v="09-MAR-2025"/>
    <x v="1"/>
    <x v="0"/>
    <x v="0"/>
    <n v="20"/>
    <n v="250000"/>
    <n v="5000000"/>
    <x v="1"/>
    <x v="10"/>
  </r>
  <r>
    <s v="20FEB2052"/>
    <s v="20"/>
    <s v="FEB"/>
    <n v="2025"/>
    <s v="20-FEB-2025"/>
    <x v="3"/>
    <x v="6"/>
    <x v="5"/>
    <n v="7"/>
    <n v="89233"/>
    <n v="624631"/>
    <x v="2"/>
    <x v="10"/>
  </r>
  <r>
    <s v="19FEB2025"/>
    <s v="19"/>
    <s v="FEB"/>
    <n v="2025"/>
    <s v="19-FEB-2025"/>
    <x v="1"/>
    <x v="0"/>
    <x v="0"/>
    <n v="5"/>
    <n v="250000"/>
    <n v="1250000"/>
    <x v="5"/>
    <x v="11"/>
  </r>
  <r>
    <s v="10APR2025"/>
    <s v="10"/>
    <s v="Apr"/>
    <n v="2025"/>
    <s v="10-APR-2025"/>
    <x v="1"/>
    <x v="4"/>
    <x v="4"/>
    <n v="19"/>
    <n v="175000"/>
    <n v="3325000"/>
    <x v="5"/>
    <x v="7"/>
  </r>
  <r>
    <s v="21MAY2025"/>
    <s v="21"/>
    <s v="MAY"/>
    <n v="2025"/>
    <s v="21-MAY-2025"/>
    <x v="1"/>
    <x v="1"/>
    <x v="1"/>
    <n v="14"/>
    <n v="350000"/>
    <n v="4900000"/>
    <x v="6"/>
    <x v="1"/>
  </r>
  <r>
    <s v="26JUN2025"/>
    <s v="26"/>
    <s v="Jun"/>
    <n v="2025"/>
    <s v="26-JUN-2025"/>
    <x v="1"/>
    <x v="4"/>
    <x v="4"/>
    <n v="20"/>
    <n v="175000"/>
    <n v="3500000"/>
    <x v="5"/>
    <x v="0"/>
  </r>
  <r>
    <s v="20FEB2025"/>
    <s v="20"/>
    <s v="FEB"/>
    <n v="2025"/>
    <s v="20-FEB-2025"/>
    <x v="0"/>
    <x v="6"/>
    <x v="5"/>
    <n v="18"/>
    <n v="85000"/>
    <n v="1530000"/>
    <x v="0"/>
    <x v="9"/>
  </r>
  <r>
    <s v="27JUN2025"/>
    <s v="27"/>
    <s v="Jun"/>
    <n v="2025"/>
    <s v="27-JUN-2025"/>
    <x v="2"/>
    <x v="4"/>
    <x v="4"/>
    <n v="17"/>
    <n v="175000"/>
    <n v="2975000"/>
    <x v="1"/>
    <x v="8"/>
  </r>
  <r>
    <s v="05FEB2025"/>
    <s v="05"/>
    <s v="FEB"/>
    <n v="2025"/>
    <s v="05-FEB-2025"/>
    <x v="0"/>
    <x v="0"/>
    <x v="0"/>
    <n v="20"/>
    <n v="250000"/>
    <n v="5000000"/>
    <x v="2"/>
    <x v="1"/>
  </r>
  <r>
    <s v="07JUN2025"/>
    <s v="07"/>
    <s v="Jun"/>
    <n v="2025"/>
    <s v="07-JUN-2025"/>
    <x v="0"/>
    <x v="1"/>
    <x v="1"/>
    <n v="20"/>
    <n v="350000"/>
    <n v="7000000"/>
    <x v="0"/>
    <x v="10"/>
  </r>
  <r>
    <s v="13MAY2025"/>
    <s v="13"/>
    <s v="MAY"/>
    <n v="2025"/>
    <s v="13-MAY-2025"/>
    <x v="3"/>
    <x v="5"/>
    <x v="2"/>
    <n v="18"/>
    <n v="150000"/>
    <n v="2700000"/>
    <x v="6"/>
    <x v="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46FC87B-0431-4916-9629-B34D0C8079A7}"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G3:H14" firstHeaderRow="1" firstDataRow="1" firstDataCol="1"/>
  <pivotFields count="13">
    <pivotField showAll="0"/>
    <pivotField showAll="0"/>
    <pivotField showAll="0"/>
    <pivotField showAll="0"/>
    <pivotField showAll="0"/>
    <pivotField showAll="0"/>
    <pivotField showAll="0"/>
    <pivotField showAll="0">
      <items count="7">
        <item x="5"/>
        <item x="0"/>
        <item x="1"/>
        <item x="2"/>
        <item x="3"/>
        <item x="4"/>
        <item t="default"/>
      </items>
    </pivotField>
    <pivotField showAll="0"/>
    <pivotField numFmtId="43" showAll="0"/>
    <pivotField dataField="1" numFmtId="43"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1">
    <i>
      <x v="8"/>
    </i>
    <i>
      <x v="3"/>
    </i>
    <i>
      <x v="4"/>
    </i>
    <i>
      <x v="2"/>
    </i>
    <i>
      <x v="5"/>
    </i>
    <i>
      <x v="7"/>
    </i>
    <i>
      <x v="1"/>
    </i>
    <i>
      <x v="6"/>
    </i>
    <i>
      <x v="9"/>
    </i>
    <i>
      <x/>
    </i>
    <i t="grand">
      <x/>
    </i>
  </rowItems>
  <colItems count="1">
    <i/>
  </colItems>
  <dataFields count="1">
    <dataField name="Sum of Total Sales" fld="10" baseField="0" baseItem="0" numFmtId="165"/>
  </dataFields>
  <formats count="1">
    <format dxfId="90">
      <pivotArea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951285D-7E85-44E9-8659-FE5DB12F19DC}"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13:B24" firstHeaderRow="1" firstDataRow="1" firstDataCol="1"/>
  <pivotFields count="13">
    <pivotField showAll="0"/>
    <pivotField showAll="0"/>
    <pivotField showAll="0"/>
    <pivotField showAll="0"/>
    <pivotField showAll="0"/>
    <pivotField showAll="0"/>
    <pivotField showAll="0"/>
    <pivotField showAll="0">
      <items count="7">
        <item x="5"/>
        <item x="0"/>
        <item x="1"/>
        <item x="2"/>
        <item x="3"/>
        <item x="4"/>
        <item t="default"/>
      </items>
    </pivotField>
    <pivotField dataField="1" showAll="0"/>
    <pivotField numFmtId="43" showAll="0"/>
    <pivotField numFmtId="43" showAll="0"/>
    <pivotField axis="axisRow" showAll="0" sortType="descending">
      <items count="11">
        <item x="8"/>
        <item x="3"/>
        <item x="4"/>
        <item x="2"/>
        <item x="6"/>
        <item x="1"/>
        <item x="7"/>
        <item x="5"/>
        <item x="0"/>
        <item x="9"/>
        <item t="default"/>
      </items>
      <autoSortScope>
        <pivotArea dataOnly="0" outline="0" fieldPosition="0">
          <references count="1">
            <reference field="4294967294" count="1" selected="0">
              <x v="0"/>
            </reference>
          </references>
        </pivotArea>
      </autoSortScope>
    </pivotField>
    <pivotField showAll="0"/>
  </pivotFields>
  <rowFields count="1">
    <field x="11"/>
  </rowFields>
  <rowItems count="11">
    <i>
      <x v="2"/>
    </i>
    <i>
      <x v="3"/>
    </i>
    <i>
      <x v="4"/>
    </i>
    <i>
      <x v="5"/>
    </i>
    <i>
      <x v="1"/>
    </i>
    <i>
      <x v="8"/>
    </i>
    <i>
      <x v="7"/>
    </i>
    <i>
      <x v="9"/>
    </i>
    <i>
      <x v="6"/>
    </i>
    <i>
      <x/>
    </i>
    <i t="grand">
      <x/>
    </i>
  </rowItems>
  <colItems count="1">
    <i/>
  </colItems>
  <dataFields count="1">
    <dataField name="Sum of Units Sold" fld="8" baseField="0" baseItem="0"/>
  </dataFields>
  <formats count="1">
    <format dxfId="91">
      <pivotArea grandRow="1" outline="0" collapsedLevelsAreSubtotals="1" fieldPosition="0"/>
    </format>
  </formats>
  <chartFormats count="3">
    <chartFormat chart="2"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 chart="4"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53C5CC6-5D07-4377-BCC9-718B3B5DB20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5">
  <location ref="A3:B8" firstHeaderRow="1" firstDataRow="1" firstDataCol="1"/>
  <pivotFields count="13">
    <pivotField showAll="0"/>
    <pivotField showAll="0"/>
    <pivotField showAll="0"/>
    <pivotField showAll="0"/>
    <pivotField showAll="0"/>
    <pivotField axis="axisRow" showAll="0">
      <items count="5">
        <item x="1"/>
        <item x="2"/>
        <item x="0"/>
        <item x="3"/>
        <item t="default"/>
      </items>
    </pivotField>
    <pivotField showAll="0"/>
    <pivotField showAll="0">
      <items count="7">
        <item x="5"/>
        <item x="0"/>
        <item x="1"/>
        <item x="2"/>
        <item x="3"/>
        <item x="4"/>
        <item t="default"/>
      </items>
    </pivotField>
    <pivotField showAll="0"/>
    <pivotField numFmtId="43" showAll="0"/>
    <pivotField dataField="1" numFmtId="43" showAll="0"/>
    <pivotField showAll="0"/>
    <pivotField showAll="0"/>
  </pivotFields>
  <rowFields count="1">
    <field x="5"/>
  </rowFields>
  <rowItems count="5">
    <i>
      <x/>
    </i>
    <i>
      <x v="1"/>
    </i>
    <i>
      <x v="2"/>
    </i>
    <i>
      <x v="3"/>
    </i>
    <i t="grand">
      <x/>
    </i>
  </rowItems>
  <colItems count="1">
    <i/>
  </colItems>
  <dataFields count="1">
    <dataField name="Sum of Total Sales" fld="10" baseField="0" baseItem="0" numFmtId="165"/>
  </dataFields>
  <formats count="1">
    <format dxfId="92">
      <pivotArea outline="0" collapsedLevelsAreSubtotals="1" fieldPosition="0"/>
    </format>
  </formats>
  <chartFormats count="6">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5" count="1" selected="0">
            <x v="3"/>
          </reference>
        </references>
      </pivotArea>
    </chartFormat>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5" count="1" selected="0">
            <x v="3"/>
          </reference>
        </references>
      </pivotArea>
    </chartFormat>
    <chartFormat chart="3" format="4" series="1">
      <pivotArea type="data" outline="0" fieldPosition="0">
        <references count="1">
          <reference field="4294967294" count="1" selected="0">
            <x v="0"/>
          </reference>
        </references>
      </pivotArea>
    </chartFormat>
    <chartFormat chart="3" format="5">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89070F5-E7DC-46F8-883A-6E7E62EAAF3F}"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colHeaderCaption="REGION">
  <location ref="D17:I28" firstHeaderRow="1" firstDataRow="2" firstDataCol="1"/>
  <pivotFields count="13">
    <pivotField showAll="0"/>
    <pivotField showAll="0"/>
    <pivotField showAll="0"/>
    <pivotField showAll="0"/>
    <pivotField showAll="0"/>
    <pivotField axis="axisCol" showAll="0">
      <items count="5">
        <item x="1"/>
        <item x="2"/>
        <item x="0"/>
        <item x="3"/>
        <item t="default"/>
      </items>
    </pivotField>
    <pivotField axis="axisRow" showAll="0">
      <items count="10">
        <item x="7"/>
        <item x="4"/>
        <item x="0"/>
        <item x="3"/>
        <item x="2"/>
        <item x="6"/>
        <item x="5"/>
        <item x="1"/>
        <item x="8"/>
        <item t="default"/>
      </items>
    </pivotField>
    <pivotField showAll="0">
      <items count="7">
        <item x="5"/>
        <item x="0"/>
        <item x="1"/>
        <item x="2"/>
        <item x="3"/>
        <item x="4"/>
        <item t="default"/>
      </items>
    </pivotField>
    <pivotField showAll="0"/>
    <pivotField numFmtId="43" showAll="0"/>
    <pivotField dataField="1" numFmtId="43" showAll="0"/>
    <pivotField showAll="0"/>
    <pivotField showAll="0"/>
  </pivotFields>
  <rowFields count="1">
    <field x="6"/>
  </rowFields>
  <rowItems count="10">
    <i>
      <x/>
    </i>
    <i>
      <x v="1"/>
    </i>
    <i>
      <x v="2"/>
    </i>
    <i>
      <x v="3"/>
    </i>
    <i>
      <x v="4"/>
    </i>
    <i>
      <x v="5"/>
    </i>
    <i>
      <x v="6"/>
    </i>
    <i>
      <x v="7"/>
    </i>
    <i>
      <x v="8"/>
    </i>
    <i t="grand">
      <x/>
    </i>
  </rowItems>
  <colFields count="1">
    <field x="5"/>
  </colFields>
  <colItems count="5">
    <i>
      <x/>
    </i>
    <i>
      <x v="1"/>
    </i>
    <i>
      <x v="2"/>
    </i>
    <i>
      <x v="3"/>
    </i>
    <i t="grand">
      <x/>
    </i>
  </colItems>
  <dataFields count="1">
    <dataField name="Sum of Total Sales" fld="10" baseField="0" baseItem="0" numFmtId="43"/>
  </dataFields>
  <chartFormats count="12">
    <chartFormat chart="2" format="8" series="1">
      <pivotArea type="data" outline="0" fieldPosition="0">
        <references count="2">
          <reference field="4294967294" count="1" selected="0">
            <x v="0"/>
          </reference>
          <reference field="5" count="1" selected="0">
            <x v="0"/>
          </reference>
        </references>
      </pivotArea>
    </chartFormat>
    <chartFormat chart="2" format="9" series="1">
      <pivotArea type="data" outline="0" fieldPosition="0">
        <references count="2">
          <reference field="4294967294" count="1" selected="0">
            <x v="0"/>
          </reference>
          <reference field="5" count="1" selected="0">
            <x v="1"/>
          </reference>
        </references>
      </pivotArea>
    </chartFormat>
    <chartFormat chart="2" format="10" series="1">
      <pivotArea type="data" outline="0" fieldPosition="0">
        <references count="2">
          <reference field="4294967294" count="1" selected="0">
            <x v="0"/>
          </reference>
          <reference field="5" count="1" selected="0">
            <x v="2"/>
          </reference>
        </references>
      </pivotArea>
    </chartFormat>
    <chartFormat chart="2" format="11" series="1">
      <pivotArea type="data" outline="0" fieldPosition="0">
        <references count="2">
          <reference field="4294967294" count="1" selected="0">
            <x v="0"/>
          </reference>
          <reference field="5" count="1" selected="0">
            <x v="3"/>
          </reference>
        </references>
      </pivotArea>
    </chartFormat>
    <chartFormat chart="3" format="12" series="1">
      <pivotArea type="data" outline="0" fieldPosition="0">
        <references count="2">
          <reference field="4294967294" count="1" selected="0">
            <x v="0"/>
          </reference>
          <reference field="5" count="1" selected="0">
            <x v="0"/>
          </reference>
        </references>
      </pivotArea>
    </chartFormat>
    <chartFormat chart="3" format="13" series="1">
      <pivotArea type="data" outline="0" fieldPosition="0">
        <references count="2">
          <reference field="4294967294" count="1" selected="0">
            <x v="0"/>
          </reference>
          <reference field="5" count="1" selected="0">
            <x v="1"/>
          </reference>
        </references>
      </pivotArea>
    </chartFormat>
    <chartFormat chart="3" format="14" series="1">
      <pivotArea type="data" outline="0" fieldPosition="0">
        <references count="2">
          <reference field="4294967294" count="1" selected="0">
            <x v="0"/>
          </reference>
          <reference field="5" count="1" selected="0">
            <x v="2"/>
          </reference>
        </references>
      </pivotArea>
    </chartFormat>
    <chartFormat chart="3" format="15" series="1">
      <pivotArea type="data" outline="0" fieldPosition="0">
        <references count="2">
          <reference field="4294967294" count="1" selected="0">
            <x v="0"/>
          </reference>
          <reference field="5" count="1" selected="0">
            <x v="3"/>
          </reference>
        </references>
      </pivotArea>
    </chartFormat>
    <chartFormat chart="4" format="16" series="1">
      <pivotArea type="data" outline="0" fieldPosition="0">
        <references count="2">
          <reference field="4294967294" count="1" selected="0">
            <x v="0"/>
          </reference>
          <reference field="5" count="1" selected="0">
            <x v="0"/>
          </reference>
        </references>
      </pivotArea>
    </chartFormat>
    <chartFormat chart="4" format="17" series="1">
      <pivotArea type="data" outline="0" fieldPosition="0">
        <references count="2">
          <reference field="4294967294" count="1" selected="0">
            <x v="0"/>
          </reference>
          <reference field="5" count="1" selected="0">
            <x v="1"/>
          </reference>
        </references>
      </pivotArea>
    </chartFormat>
    <chartFormat chart="4" format="18" series="1">
      <pivotArea type="data" outline="0" fieldPosition="0">
        <references count="2">
          <reference field="4294967294" count="1" selected="0">
            <x v="0"/>
          </reference>
          <reference field="5" count="1" selected="0">
            <x v="2"/>
          </reference>
        </references>
      </pivotArea>
    </chartFormat>
    <chartFormat chart="4" format="19" series="1">
      <pivotArea type="data" outline="0" fieldPosition="0">
        <references count="2">
          <reference field="4294967294" count="1" selected="0">
            <x v="0"/>
          </reference>
          <reference field="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13BE6B7-DB5C-4B40-AEB0-82AECF1DA27B}"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5">
  <location ref="E32:F38" firstHeaderRow="1" firstDataRow="1" firstDataCol="1"/>
  <pivotFields count="13">
    <pivotField showAll="0"/>
    <pivotField showAll="0"/>
    <pivotField showAll="0"/>
    <pivotField showAll="0"/>
    <pivotField showAll="0"/>
    <pivotField showAll="0"/>
    <pivotField showAll="0"/>
    <pivotField showAll="0">
      <items count="7">
        <item x="5"/>
        <item x="0"/>
        <item x="1"/>
        <item x="2"/>
        <item x="3"/>
        <item x="4"/>
        <item t="default"/>
      </items>
    </pivotField>
    <pivotField showAll="0"/>
    <pivotField numFmtId="43" showAll="0"/>
    <pivotField dataField="1" numFmtId="43" showAll="0"/>
    <pivotField showAll="0"/>
    <pivotField axis="axisRow" showAll="0" measureFilter="1" sortType="descending">
      <items count="13">
        <item x="5"/>
        <item x="0"/>
        <item x="4"/>
        <item x="8"/>
        <item x="10"/>
        <item x="3"/>
        <item x="7"/>
        <item x="1"/>
        <item x="6"/>
        <item x="9"/>
        <item x="11"/>
        <item x="2"/>
        <item t="default"/>
      </items>
      <autoSortScope>
        <pivotArea dataOnly="0" outline="0" fieldPosition="0">
          <references count="1">
            <reference field="4294967294" count="1" selected="0">
              <x v="0"/>
            </reference>
          </references>
        </pivotArea>
      </autoSortScope>
    </pivotField>
  </pivotFields>
  <rowFields count="1">
    <field x="12"/>
  </rowFields>
  <rowItems count="6">
    <i>
      <x v="8"/>
    </i>
    <i>
      <x v="7"/>
    </i>
    <i>
      <x v="1"/>
    </i>
    <i>
      <x v="4"/>
    </i>
    <i>
      <x v="5"/>
    </i>
    <i t="grand">
      <x/>
    </i>
  </rowItems>
  <colItems count="1">
    <i/>
  </colItems>
  <dataFields count="1">
    <dataField name="Sum of Total Sales" fld="10" baseField="0" baseItem="0" numFmtId="165"/>
  </dataFields>
  <formats count="1">
    <format dxfId="93">
      <pivotArea outline="0" collapsedLevelsAreSubtotals="1" fieldPosition="0"/>
    </format>
  </formats>
  <chartFormats count="3">
    <chartFormat chart="5"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EE1563D-CBBA-46DF-BA8E-6C6747406FB2}"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J3:K10" firstHeaderRow="1" firstDataRow="1" firstDataCol="1"/>
  <pivotFields count="13">
    <pivotField showAll="0"/>
    <pivotField showAll="0"/>
    <pivotField showAll="0"/>
    <pivotField showAll="0"/>
    <pivotField showAll="0"/>
    <pivotField showAll="0"/>
    <pivotField showAll="0"/>
    <pivotField axis="axisRow" showAll="0">
      <items count="7">
        <item x="5"/>
        <item x="0"/>
        <item x="1"/>
        <item x="2"/>
        <item x="3"/>
        <item x="4"/>
        <item t="default"/>
      </items>
    </pivotField>
    <pivotField showAll="0"/>
    <pivotField numFmtId="43" showAll="0"/>
    <pivotField dataField="1" numFmtId="43" showAll="0"/>
    <pivotField showAll="0"/>
    <pivotField showAll="0"/>
  </pivotFields>
  <rowFields count="1">
    <field x="7"/>
  </rowFields>
  <rowItems count="7">
    <i>
      <x/>
    </i>
    <i>
      <x v="1"/>
    </i>
    <i>
      <x v="2"/>
    </i>
    <i>
      <x v="3"/>
    </i>
    <i>
      <x v="4"/>
    </i>
    <i>
      <x v="5"/>
    </i>
    <i t="grand">
      <x/>
    </i>
  </rowItems>
  <colItems count="1">
    <i/>
  </colItems>
  <dataFields count="1">
    <dataField name="Sum of Total Sales" fld="10" baseField="0" baseItem="0" numFmtId="43"/>
  </dataFields>
  <chartFormats count="19">
    <chartFormat chart="2" format="8" series="1">
      <pivotArea type="data" outline="0" fieldPosition="0">
        <references count="1">
          <reference field="4294967294" count="1" selected="0">
            <x v="0"/>
          </reference>
        </references>
      </pivotArea>
    </chartFormat>
    <chartFormat chart="2" format="9">
      <pivotArea type="data" outline="0" fieldPosition="0">
        <references count="2">
          <reference field="4294967294" count="1" selected="0">
            <x v="0"/>
          </reference>
          <reference field="7" count="1" selected="0">
            <x v="0"/>
          </reference>
        </references>
      </pivotArea>
    </chartFormat>
    <chartFormat chart="2" format="10">
      <pivotArea type="data" outline="0" fieldPosition="0">
        <references count="2">
          <reference field="4294967294" count="1" selected="0">
            <x v="0"/>
          </reference>
          <reference field="7" count="1" selected="0">
            <x v="1"/>
          </reference>
        </references>
      </pivotArea>
    </chartFormat>
    <chartFormat chart="2" format="11">
      <pivotArea type="data" outline="0" fieldPosition="0">
        <references count="2">
          <reference field="4294967294" count="1" selected="0">
            <x v="0"/>
          </reference>
          <reference field="7" count="1" selected="0">
            <x v="2"/>
          </reference>
        </references>
      </pivotArea>
    </chartFormat>
    <chartFormat chart="2" format="12">
      <pivotArea type="data" outline="0" fieldPosition="0">
        <references count="2">
          <reference field="4294967294" count="1" selected="0">
            <x v="0"/>
          </reference>
          <reference field="7" count="1" selected="0">
            <x v="3"/>
          </reference>
        </references>
      </pivotArea>
    </chartFormat>
    <chartFormat chart="2" format="13">
      <pivotArea type="data" outline="0" fieldPosition="0">
        <references count="2">
          <reference field="4294967294" count="1" selected="0">
            <x v="0"/>
          </reference>
          <reference field="7" count="1" selected="0">
            <x v="4"/>
          </reference>
        </references>
      </pivotArea>
    </chartFormat>
    <chartFormat chart="2" format="14">
      <pivotArea type="data" outline="0" fieldPosition="0">
        <references count="2">
          <reference field="4294967294" count="1" selected="0">
            <x v="0"/>
          </reference>
          <reference field="7" count="1" selected="0">
            <x v="5"/>
          </reference>
        </references>
      </pivotArea>
    </chartFormat>
    <chartFormat chart="5" format="15" series="1">
      <pivotArea type="data" outline="0" fieldPosition="0">
        <references count="1">
          <reference field="4294967294" count="1" selected="0">
            <x v="0"/>
          </reference>
        </references>
      </pivotArea>
    </chartFormat>
    <chartFormat chart="5" format="16">
      <pivotArea type="data" outline="0" fieldPosition="0">
        <references count="2">
          <reference field="4294967294" count="1" selected="0">
            <x v="0"/>
          </reference>
          <reference field="7" count="1" selected="0">
            <x v="0"/>
          </reference>
        </references>
      </pivotArea>
    </chartFormat>
    <chartFormat chart="5" format="17">
      <pivotArea type="data" outline="0" fieldPosition="0">
        <references count="2">
          <reference field="4294967294" count="1" selected="0">
            <x v="0"/>
          </reference>
          <reference field="7" count="1" selected="0">
            <x v="1"/>
          </reference>
        </references>
      </pivotArea>
    </chartFormat>
    <chartFormat chart="5" format="18">
      <pivotArea type="data" outline="0" fieldPosition="0">
        <references count="2">
          <reference field="4294967294" count="1" selected="0">
            <x v="0"/>
          </reference>
          <reference field="7" count="1" selected="0">
            <x v="2"/>
          </reference>
        </references>
      </pivotArea>
    </chartFormat>
    <chartFormat chart="5" format="19">
      <pivotArea type="data" outline="0" fieldPosition="0">
        <references count="2">
          <reference field="4294967294" count="1" selected="0">
            <x v="0"/>
          </reference>
          <reference field="7" count="1" selected="0">
            <x v="3"/>
          </reference>
        </references>
      </pivotArea>
    </chartFormat>
    <chartFormat chart="5" format="20">
      <pivotArea type="data" outline="0" fieldPosition="0">
        <references count="2">
          <reference field="4294967294" count="1" selected="0">
            <x v="0"/>
          </reference>
          <reference field="7" count="1" selected="0">
            <x v="4"/>
          </reference>
        </references>
      </pivotArea>
    </chartFormat>
    <chartFormat chart="6" format="21" series="1">
      <pivotArea type="data" outline="0" fieldPosition="0">
        <references count="1">
          <reference field="4294967294" count="1" selected="0">
            <x v="0"/>
          </reference>
        </references>
      </pivotArea>
    </chartFormat>
    <chartFormat chart="6" format="22">
      <pivotArea type="data" outline="0" fieldPosition="0">
        <references count="2">
          <reference field="4294967294" count="1" selected="0">
            <x v="0"/>
          </reference>
          <reference field="7" count="1" selected="0">
            <x v="0"/>
          </reference>
        </references>
      </pivotArea>
    </chartFormat>
    <chartFormat chart="6" format="23">
      <pivotArea type="data" outline="0" fieldPosition="0">
        <references count="2">
          <reference field="4294967294" count="1" selected="0">
            <x v="0"/>
          </reference>
          <reference field="7" count="1" selected="0">
            <x v="1"/>
          </reference>
        </references>
      </pivotArea>
    </chartFormat>
    <chartFormat chart="6" format="24">
      <pivotArea type="data" outline="0" fieldPosition="0">
        <references count="2">
          <reference field="4294967294" count="1" selected="0">
            <x v="0"/>
          </reference>
          <reference field="7" count="1" selected="0">
            <x v="2"/>
          </reference>
        </references>
      </pivotArea>
    </chartFormat>
    <chartFormat chart="6" format="25">
      <pivotArea type="data" outline="0" fieldPosition="0">
        <references count="2">
          <reference field="4294967294" count="1" selected="0">
            <x v="0"/>
          </reference>
          <reference field="7" count="1" selected="0">
            <x v="3"/>
          </reference>
        </references>
      </pivotArea>
    </chartFormat>
    <chartFormat chart="6" format="26">
      <pivotArea type="data" outline="0" fieldPosition="0">
        <references count="2">
          <reference field="4294967294" count="1" selected="0">
            <x v="0"/>
          </reference>
          <reference field="7"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9BA8ABB-C194-4A8A-B313-5F8937B4818E}"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4">
  <location ref="A32:C48" firstHeaderRow="0" firstDataRow="1" firstDataCol="1"/>
  <pivotFields count="13">
    <pivotField showAll="0"/>
    <pivotField showAll="0"/>
    <pivotField showAll="0"/>
    <pivotField showAll="0"/>
    <pivotField showAll="0"/>
    <pivotField showAll="0"/>
    <pivotField axis="axisRow" showAll="0" sortType="descending">
      <items count="10">
        <item x="7"/>
        <item x="4"/>
        <item x="0"/>
        <item x="3"/>
        <item x="2"/>
        <item x="6"/>
        <item x="5"/>
        <item x="1"/>
        <item x="8"/>
        <item t="default"/>
      </items>
      <autoSortScope>
        <pivotArea dataOnly="0" outline="0" fieldPosition="0">
          <references count="1">
            <reference field="4294967294" count="1" selected="0">
              <x v="0"/>
            </reference>
          </references>
        </pivotArea>
      </autoSortScope>
    </pivotField>
    <pivotField axis="axisRow" showAll="0" sortType="descending">
      <items count="7">
        <item x="5"/>
        <item x="0"/>
        <item x="1"/>
        <item x="2"/>
        <item x="3"/>
        <item x="4"/>
        <item t="default"/>
      </items>
      <autoSortScope>
        <pivotArea dataOnly="0" outline="0" fieldPosition="0">
          <references count="1">
            <reference field="4294967294" count="1" selected="0">
              <x v="0"/>
            </reference>
          </references>
        </pivotArea>
      </autoSortScope>
    </pivotField>
    <pivotField showAll="0"/>
    <pivotField numFmtId="43" showAll="0"/>
    <pivotField dataField="1" numFmtId="43" showAll="0"/>
    <pivotField showAll="0"/>
    <pivotField showAll="0"/>
  </pivotFields>
  <rowFields count="2">
    <field x="7"/>
    <field x="6"/>
  </rowFields>
  <rowItems count="16">
    <i>
      <x v="1"/>
    </i>
    <i r="1">
      <x v="2"/>
    </i>
    <i>
      <x v="2"/>
    </i>
    <i r="1">
      <x v="7"/>
    </i>
    <i>
      <x v="3"/>
    </i>
    <i r="1">
      <x v="6"/>
    </i>
    <i r="1">
      <x v="4"/>
    </i>
    <i>
      <x v="5"/>
    </i>
    <i r="1">
      <x v="1"/>
    </i>
    <i r="1">
      <x/>
    </i>
    <i>
      <x v="4"/>
    </i>
    <i r="1">
      <x v="3"/>
    </i>
    <i r="1">
      <x v="8"/>
    </i>
    <i>
      <x/>
    </i>
    <i r="1">
      <x v="5"/>
    </i>
    <i t="grand">
      <x/>
    </i>
  </rowItems>
  <colFields count="1">
    <field x="-2"/>
  </colFields>
  <colItems count="2">
    <i>
      <x/>
    </i>
    <i i="1">
      <x v="1"/>
    </i>
  </colItems>
  <dataFields count="2">
    <dataField name="% of Total" fld="10" showDataAs="percentOfTotal" baseField="0" baseItem="0" numFmtId="10"/>
    <dataField name="Sum of Total Sales" fld="10" baseField="0" baseItem="0" numFmtId="43"/>
  </dataFields>
  <formats count="4">
    <format dxfId="97">
      <pivotArea grandRow="1" outline="0" collapsedLevelsAreSubtotals="1" fieldPosition="0"/>
    </format>
    <format dxfId="96">
      <pivotArea outline="0" fieldPosition="0">
        <references count="1">
          <reference field="4294967294" count="1">
            <x v="0"/>
          </reference>
        </references>
      </pivotArea>
    </format>
    <format dxfId="95">
      <pivotArea field="6" grandRow="1" outline="0" collapsedLevelsAreSubtotals="1" axis="axisRow" fieldPosition="1">
        <references count="1">
          <reference field="4294967294" count="1" selected="0">
            <x v="1"/>
          </reference>
        </references>
      </pivotArea>
    </format>
    <format dxfId="94">
      <pivotArea dataOnly="0" labelOnly="1" outline="0" fieldPosition="0">
        <references count="1">
          <reference field="4294967294" count="1">
            <x v="0"/>
          </reference>
        </references>
      </pivotArea>
    </format>
  </formats>
  <chartFormats count="52">
    <chartFormat chart="4" format="22" series="1">
      <pivotArea type="data" outline="0" fieldPosition="0">
        <references count="1">
          <reference field="4294967294" count="1" selected="0">
            <x v="0"/>
          </reference>
        </references>
      </pivotArea>
    </chartFormat>
    <chartFormat chart="4" format="23">
      <pivotArea type="data" outline="0" fieldPosition="0">
        <references count="3">
          <reference field="4294967294" count="1" selected="0">
            <x v="0"/>
          </reference>
          <reference field="6" count="1" selected="0">
            <x v="2"/>
          </reference>
          <reference field="7" count="1" selected="0">
            <x v="1"/>
          </reference>
        </references>
      </pivotArea>
    </chartFormat>
    <chartFormat chart="4" format="24">
      <pivotArea type="data" outline="0" fieldPosition="0">
        <references count="3">
          <reference field="4294967294" count="1" selected="0">
            <x v="0"/>
          </reference>
          <reference field="6" count="1" selected="0">
            <x v="7"/>
          </reference>
          <reference field="7" count="1" selected="0">
            <x v="2"/>
          </reference>
        </references>
      </pivotArea>
    </chartFormat>
    <chartFormat chart="4" format="25">
      <pivotArea type="data" outline="0" fieldPosition="0">
        <references count="3">
          <reference field="4294967294" count="1" selected="0">
            <x v="0"/>
          </reference>
          <reference field="6" count="1" selected="0">
            <x v="6"/>
          </reference>
          <reference field="7" count="1" selected="0">
            <x v="3"/>
          </reference>
        </references>
      </pivotArea>
    </chartFormat>
    <chartFormat chart="4" format="26">
      <pivotArea type="data" outline="0" fieldPosition="0">
        <references count="3">
          <reference field="4294967294" count="1" selected="0">
            <x v="0"/>
          </reference>
          <reference field="6" count="1" selected="0">
            <x v="4"/>
          </reference>
          <reference field="7" count="1" selected="0">
            <x v="3"/>
          </reference>
        </references>
      </pivotArea>
    </chartFormat>
    <chartFormat chart="4" format="27">
      <pivotArea type="data" outline="0" fieldPosition="0">
        <references count="3">
          <reference field="4294967294" count="1" selected="0">
            <x v="0"/>
          </reference>
          <reference field="6" count="1" selected="0">
            <x v="1"/>
          </reference>
          <reference field="7" count="1" selected="0">
            <x v="5"/>
          </reference>
        </references>
      </pivotArea>
    </chartFormat>
    <chartFormat chart="4" format="28">
      <pivotArea type="data" outline="0" fieldPosition="0">
        <references count="3">
          <reference field="4294967294" count="1" selected="0">
            <x v="0"/>
          </reference>
          <reference field="6" count="1" selected="0">
            <x v="0"/>
          </reference>
          <reference field="7" count="1" selected="0">
            <x v="5"/>
          </reference>
        </references>
      </pivotArea>
    </chartFormat>
    <chartFormat chart="4" format="29">
      <pivotArea type="data" outline="0" fieldPosition="0">
        <references count="3">
          <reference field="4294967294" count="1" selected="0">
            <x v="0"/>
          </reference>
          <reference field="6" count="1" selected="0">
            <x v="3"/>
          </reference>
          <reference field="7" count="1" selected="0">
            <x v="4"/>
          </reference>
        </references>
      </pivotArea>
    </chartFormat>
    <chartFormat chart="4" format="30">
      <pivotArea type="data" outline="0" fieldPosition="0">
        <references count="3">
          <reference field="4294967294" count="1" selected="0">
            <x v="0"/>
          </reference>
          <reference field="6" count="1" selected="0">
            <x v="8"/>
          </reference>
          <reference field="7" count="1" selected="0">
            <x v="4"/>
          </reference>
        </references>
      </pivotArea>
    </chartFormat>
    <chartFormat chart="4" format="31">
      <pivotArea type="data" outline="0" fieldPosition="0">
        <references count="3">
          <reference field="4294967294" count="1" selected="0">
            <x v="0"/>
          </reference>
          <reference field="6" count="1" selected="0">
            <x v="5"/>
          </reference>
          <reference field="7" count="1" selected="0">
            <x v="0"/>
          </reference>
        </references>
      </pivotArea>
    </chartFormat>
    <chartFormat chart="4" format="32" series="1">
      <pivotArea type="data" outline="0" fieldPosition="0">
        <references count="1">
          <reference field="4294967294" count="1" selected="0">
            <x v="1"/>
          </reference>
        </references>
      </pivotArea>
    </chartFormat>
    <chartFormat chart="4" format="33">
      <pivotArea type="data" outline="0" fieldPosition="0">
        <references count="3">
          <reference field="4294967294" count="1" selected="0">
            <x v="1"/>
          </reference>
          <reference field="6" count="1" selected="0">
            <x v="2"/>
          </reference>
          <reference field="7" count="1" selected="0">
            <x v="1"/>
          </reference>
        </references>
      </pivotArea>
    </chartFormat>
    <chartFormat chart="4" format="34">
      <pivotArea type="data" outline="0" fieldPosition="0">
        <references count="3">
          <reference field="4294967294" count="1" selected="0">
            <x v="1"/>
          </reference>
          <reference field="6" count="1" selected="0">
            <x v="7"/>
          </reference>
          <reference field="7" count="1" selected="0">
            <x v="2"/>
          </reference>
        </references>
      </pivotArea>
    </chartFormat>
    <chartFormat chart="4" format="35">
      <pivotArea type="data" outline="0" fieldPosition="0">
        <references count="3">
          <reference field="4294967294" count="1" selected="0">
            <x v="1"/>
          </reference>
          <reference field="6" count="1" selected="0">
            <x v="6"/>
          </reference>
          <reference field="7" count="1" selected="0">
            <x v="3"/>
          </reference>
        </references>
      </pivotArea>
    </chartFormat>
    <chartFormat chart="4" format="36">
      <pivotArea type="data" outline="0" fieldPosition="0">
        <references count="3">
          <reference field="4294967294" count="1" selected="0">
            <x v="1"/>
          </reference>
          <reference field="6" count="1" selected="0">
            <x v="4"/>
          </reference>
          <reference field="7" count="1" selected="0">
            <x v="3"/>
          </reference>
        </references>
      </pivotArea>
    </chartFormat>
    <chartFormat chart="4" format="37">
      <pivotArea type="data" outline="0" fieldPosition="0">
        <references count="3">
          <reference field="4294967294" count="1" selected="0">
            <x v="1"/>
          </reference>
          <reference field="6" count="1" selected="0">
            <x v="1"/>
          </reference>
          <reference field="7" count="1" selected="0">
            <x v="5"/>
          </reference>
        </references>
      </pivotArea>
    </chartFormat>
    <chartFormat chart="4" format="38">
      <pivotArea type="data" outline="0" fieldPosition="0">
        <references count="3">
          <reference field="4294967294" count="1" selected="0">
            <x v="1"/>
          </reference>
          <reference field="6" count="1" selected="0">
            <x v="0"/>
          </reference>
          <reference field="7" count="1" selected="0">
            <x v="5"/>
          </reference>
        </references>
      </pivotArea>
    </chartFormat>
    <chartFormat chart="4" format="39">
      <pivotArea type="data" outline="0" fieldPosition="0">
        <references count="3">
          <reference field="4294967294" count="1" selected="0">
            <x v="1"/>
          </reference>
          <reference field="6" count="1" selected="0">
            <x v="3"/>
          </reference>
          <reference field="7" count="1" selected="0">
            <x v="4"/>
          </reference>
        </references>
      </pivotArea>
    </chartFormat>
    <chartFormat chart="4" format="40">
      <pivotArea type="data" outline="0" fieldPosition="0">
        <references count="3">
          <reference field="4294967294" count="1" selected="0">
            <x v="1"/>
          </reference>
          <reference field="6" count="1" selected="0">
            <x v="8"/>
          </reference>
          <reference field="7" count="1" selected="0">
            <x v="4"/>
          </reference>
        </references>
      </pivotArea>
    </chartFormat>
    <chartFormat chart="4" format="41">
      <pivotArea type="data" outline="0" fieldPosition="0">
        <references count="3">
          <reference field="4294967294" count="1" selected="0">
            <x v="1"/>
          </reference>
          <reference field="6" count="1" selected="0">
            <x v="5"/>
          </reference>
          <reference field="7" count="1" selected="0">
            <x v="0"/>
          </reference>
        </references>
      </pivotArea>
    </chartFormat>
    <chartFormat chart="5" format="42" series="1">
      <pivotArea type="data" outline="0" fieldPosition="0">
        <references count="1">
          <reference field="4294967294" count="1" selected="0">
            <x v="0"/>
          </reference>
        </references>
      </pivotArea>
    </chartFormat>
    <chartFormat chart="5" format="43">
      <pivotArea type="data" outline="0" fieldPosition="0">
        <references count="3">
          <reference field="4294967294" count="1" selected="0">
            <x v="0"/>
          </reference>
          <reference field="6" count="1" selected="0">
            <x v="2"/>
          </reference>
          <reference field="7" count="1" selected="0">
            <x v="1"/>
          </reference>
        </references>
      </pivotArea>
    </chartFormat>
    <chartFormat chart="5" format="44">
      <pivotArea type="data" outline="0" fieldPosition="0">
        <references count="3">
          <reference field="4294967294" count="1" selected="0">
            <x v="0"/>
          </reference>
          <reference field="6" count="1" selected="0">
            <x v="7"/>
          </reference>
          <reference field="7" count="1" selected="0">
            <x v="2"/>
          </reference>
        </references>
      </pivotArea>
    </chartFormat>
    <chartFormat chart="5" format="45">
      <pivotArea type="data" outline="0" fieldPosition="0">
        <references count="3">
          <reference field="4294967294" count="1" selected="0">
            <x v="0"/>
          </reference>
          <reference field="6" count="1" selected="0">
            <x v="6"/>
          </reference>
          <reference field="7" count="1" selected="0">
            <x v="3"/>
          </reference>
        </references>
      </pivotArea>
    </chartFormat>
    <chartFormat chart="5" format="46">
      <pivotArea type="data" outline="0" fieldPosition="0">
        <references count="3">
          <reference field="4294967294" count="1" selected="0">
            <x v="0"/>
          </reference>
          <reference field="6" count="1" selected="0">
            <x v="4"/>
          </reference>
          <reference field="7" count="1" selected="0">
            <x v="3"/>
          </reference>
        </references>
      </pivotArea>
    </chartFormat>
    <chartFormat chart="5" format="47">
      <pivotArea type="data" outline="0" fieldPosition="0">
        <references count="3">
          <reference field="4294967294" count="1" selected="0">
            <x v="0"/>
          </reference>
          <reference field="6" count="1" selected="0">
            <x v="3"/>
          </reference>
          <reference field="7" count="1" selected="0">
            <x v="4"/>
          </reference>
        </references>
      </pivotArea>
    </chartFormat>
    <chartFormat chart="5" format="48">
      <pivotArea type="data" outline="0" fieldPosition="0">
        <references count="3">
          <reference field="4294967294" count="1" selected="0">
            <x v="0"/>
          </reference>
          <reference field="6" count="1" selected="0">
            <x v="8"/>
          </reference>
          <reference field="7" count="1" selected="0">
            <x v="4"/>
          </reference>
        </references>
      </pivotArea>
    </chartFormat>
    <chartFormat chart="5" format="49">
      <pivotArea type="data" outline="0" fieldPosition="0">
        <references count="3">
          <reference field="4294967294" count="1" selected="0">
            <x v="0"/>
          </reference>
          <reference field="6" count="1" selected="0">
            <x v="5"/>
          </reference>
          <reference field="7" count="1" selected="0">
            <x v="0"/>
          </reference>
        </references>
      </pivotArea>
    </chartFormat>
    <chartFormat chart="5" format="50" series="1">
      <pivotArea type="data" outline="0" fieldPosition="0">
        <references count="1">
          <reference field="4294967294" count="1" selected="0">
            <x v="1"/>
          </reference>
        </references>
      </pivotArea>
    </chartFormat>
    <chartFormat chart="5" format="51">
      <pivotArea type="data" outline="0" fieldPosition="0">
        <references count="3">
          <reference field="4294967294" count="1" selected="0">
            <x v="1"/>
          </reference>
          <reference field="6" count="1" selected="0">
            <x v="2"/>
          </reference>
          <reference field="7" count="1" selected="0">
            <x v="1"/>
          </reference>
        </references>
      </pivotArea>
    </chartFormat>
    <chartFormat chart="5" format="52">
      <pivotArea type="data" outline="0" fieldPosition="0">
        <references count="3">
          <reference field="4294967294" count="1" selected="0">
            <x v="1"/>
          </reference>
          <reference field="6" count="1" selected="0">
            <x v="7"/>
          </reference>
          <reference field="7" count="1" selected="0">
            <x v="2"/>
          </reference>
        </references>
      </pivotArea>
    </chartFormat>
    <chartFormat chart="5" format="53">
      <pivotArea type="data" outline="0" fieldPosition="0">
        <references count="3">
          <reference field="4294967294" count="1" selected="0">
            <x v="1"/>
          </reference>
          <reference field="6" count="1" selected="0">
            <x v="6"/>
          </reference>
          <reference field="7" count="1" selected="0">
            <x v="3"/>
          </reference>
        </references>
      </pivotArea>
    </chartFormat>
    <chartFormat chart="5" format="54">
      <pivotArea type="data" outline="0" fieldPosition="0">
        <references count="3">
          <reference field="4294967294" count="1" selected="0">
            <x v="1"/>
          </reference>
          <reference field="6" count="1" selected="0">
            <x v="4"/>
          </reference>
          <reference field="7" count="1" selected="0">
            <x v="3"/>
          </reference>
        </references>
      </pivotArea>
    </chartFormat>
    <chartFormat chart="5" format="55">
      <pivotArea type="data" outline="0" fieldPosition="0">
        <references count="3">
          <reference field="4294967294" count="1" selected="0">
            <x v="1"/>
          </reference>
          <reference field="6" count="1" selected="0">
            <x v="3"/>
          </reference>
          <reference field="7" count="1" selected="0">
            <x v="4"/>
          </reference>
        </references>
      </pivotArea>
    </chartFormat>
    <chartFormat chart="5" format="56">
      <pivotArea type="data" outline="0" fieldPosition="0">
        <references count="3">
          <reference field="4294967294" count="1" selected="0">
            <x v="1"/>
          </reference>
          <reference field="6" count="1" selected="0">
            <x v="8"/>
          </reference>
          <reference field="7" count="1" selected="0">
            <x v="4"/>
          </reference>
        </references>
      </pivotArea>
    </chartFormat>
    <chartFormat chart="5" format="57">
      <pivotArea type="data" outline="0" fieldPosition="0">
        <references count="3">
          <reference field="4294967294" count="1" selected="0">
            <x v="1"/>
          </reference>
          <reference field="6" count="1" selected="0">
            <x v="5"/>
          </reference>
          <reference field="7" count="1" selected="0">
            <x v="0"/>
          </reference>
        </references>
      </pivotArea>
    </chartFormat>
    <chartFormat chart="6" format="58" series="1">
      <pivotArea type="data" outline="0" fieldPosition="0">
        <references count="1">
          <reference field="4294967294" count="1" selected="0">
            <x v="0"/>
          </reference>
        </references>
      </pivotArea>
    </chartFormat>
    <chartFormat chart="6" format="59">
      <pivotArea type="data" outline="0" fieldPosition="0">
        <references count="3">
          <reference field="4294967294" count="1" selected="0">
            <x v="0"/>
          </reference>
          <reference field="6" count="1" selected="0">
            <x v="2"/>
          </reference>
          <reference field="7" count="1" selected="0">
            <x v="1"/>
          </reference>
        </references>
      </pivotArea>
    </chartFormat>
    <chartFormat chart="6" format="60">
      <pivotArea type="data" outline="0" fieldPosition="0">
        <references count="3">
          <reference field="4294967294" count="1" selected="0">
            <x v="0"/>
          </reference>
          <reference field="6" count="1" selected="0">
            <x v="7"/>
          </reference>
          <reference field="7" count="1" selected="0">
            <x v="2"/>
          </reference>
        </references>
      </pivotArea>
    </chartFormat>
    <chartFormat chart="6" format="61">
      <pivotArea type="data" outline="0" fieldPosition="0">
        <references count="3">
          <reference field="4294967294" count="1" selected="0">
            <x v="0"/>
          </reference>
          <reference field="6" count="1" selected="0">
            <x v="6"/>
          </reference>
          <reference field="7" count="1" selected="0">
            <x v="3"/>
          </reference>
        </references>
      </pivotArea>
    </chartFormat>
    <chartFormat chart="6" format="62">
      <pivotArea type="data" outline="0" fieldPosition="0">
        <references count="3">
          <reference field="4294967294" count="1" selected="0">
            <x v="0"/>
          </reference>
          <reference field="6" count="1" selected="0">
            <x v="4"/>
          </reference>
          <reference field="7" count="1" selected="0">
            <x v="3"/>
          </reference>
        </references>
      </pivotArea>
    </chartFormat>
    <chartFormat chart="6" format="63">
      <pivotArea type="data" outline="0" fieldPosition="0">
        <references count="3">
          <reference field="4294967294" count="1" selected="0">
            <x v="0"/>
          </reference>
          <reference field="6" count="1" selected="0">
            <x v="3"/>
          </reference>
          <reference field="7" count="1" selected="0">
            <x v="4"/>
          </reference>
        </references>
      </pivotArea>
    </chartFormat>
    <chartFormat chart="6" format="64">
      <pivotArea type="data" outline="0" fieldPosition="0">
        <references count="3">
          <reference field="4294967294" count="1" selected="0">
            <x v="0"/>
          </reference>
          <reference field="6" count="1" selected="0">
            <x v="8"/>
          </reference>
          <reference field="7" count="1" selected="0">
            <x v="4"/>
          </reference>
        </references>
      </pivotArea>
    </chartFormat>
    <chartFormat chart="6" format="65">
      <pivotArea type="data" outline="0" fieldPosition="0">
        <references count="3">
          <reference field="4294967294" count="1" selected="0">
            <x v="0"/>
          </reference>
          <reference field="6" count="1" selected="0">
            <x v="5"/>
          </reference>
          <reference field="7" count="1" selected="0">
            <x v="0"/>
          </reference>
        </references>
      </pivotArea>
    </chartFormat>
    <chartFormat chart="6" format="66" series="1">
      <pivotArea type="data" outline="0" fieldPosition="0">
        <references count="1">
          <reference field="4294967294" count="1" selected="0">
            <x v="1"/>
          </reference>
        </references>
      </pivotArea>
    </chartFormat>
    <chartFormat chart="6" format="67">
      <pivotArea type="data" outline="0" fieldPosition="0">
        <references count="3">
          <reference field="4294967294" count="1" selected="0">
            <x v="1"/>
          </reference>
          <reference field="6" count="1" selected="0">
            <x v="2"/>
          </reference>
          <reference field="7" count="1" selected="0">
            <x v="1"/>
          </reference>
        </references>
      </pivotArea>
    </chartFormat>
    <chartFormat chart="6" format="68">
      <pivotArea type="data" outline="0" fieldPosition="0">
        <references count="3">
          <reference field="4294967294" count="1" selected="0">
            <x v="1"/>
          </reference>
          <reference field="6" count="1" selected="0">
            <x v="7"/>
          </reference>
          <reference field="7" count="1" selected="0">
            <x v="2"/>
          </reference>
        </references>
      </pivotArea>
    </chartFormat>
    <chartFormat chart="6" format="69">
      <pivotArea type="data" outline="0" fieldPosition="0">
        <references count="3">
          <reference field="4294967294" count="1" selected="0">
            <x v="1"/>
          </reference>
          <reference field="6" count="1" selected="0">
            <x v="6"/>
          </reference>
          <reference field="7" count="1" selected="0">
            <x v="3"/>
          </reference>
        </references>
      </pivotArea>
    </chartFormat>
    <chartFormat chart="6" format="70">
      <pivotArea type="data" outline="0" fieldPosition="0">
        <references count="3">
          <reference field="4294967294" count="1" selected="0">
            <x v="1"/>
          </reference>
          <reference field="6" count="1" selected="0">
            <x v="4"/>
          </reference>
          <reference field="7" count="1" selected="0">
            <x v="3"/>
          </reference>
        </references>
      </pivotArea>
    </chartFormat>
    <chartFormat chart="6" format="71">
      <pivotArea type="data" outline="0" fieldPosition="0">
        <references count="3">
          <reference field="4294967294" count="1" selected="0">
            <x v="1"/>
          </reference>
          <reference field="6" count="1" selected="0">
            <x v="3"/>
          </reference>
          <reference field="7" count="1" selected="0">
            <x v="4"/>
          </reference>
        </references>
      </pivotArea>
    </chartFormat>
    <chartFormat chart="6" format="72">
      <pivotArea type="data" outline="0" fieldPosition="0">
        <references count="3">
          <reference field="4294967294" count="1" selected="0">
            <x v="1"/>
          </reference>
          <reference field="6" count="1" selected="0">
            <x v="8"/>
          </reference>
          <reference field="7" count="1" selected="0">
            <x v="4"/>
          </reference>
        </references>
      </pivotArea>
    </chartFormat>
    <chartFormat chart="6" format="73">
      <pivotArea type="data" outline="0" fieldPosition="0">
        <references count="3">
          <reference field="4294967294" count="1" selected="0">
            <x v="1"/>
          </reference>
          <reference field="6" count="1" selected="0">
            <x v="5"/>
          </reference>
          <reference field="7"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DF33A215-5886-4457-899B-731FB1561AFB}"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D3:E13" firstHeaderRow="1" firstDataRow="1" firstDataCol="1"/>
  <pivotFields count="13">
    <pivotField showAll="0"/>
    <pivotField showAll="0"/>
    <pivotField showAll="0"/>
    <pivotField showAll="0"/>
    <pivotField showAll="0"/>
    <pivotField showAll="0"/>
    <pivotField axis="axisRow" showAll="0" sortType="descending">
      <items count="10">
        <item x="7"/>
        <item x="4"/>
        <item x="0"/>
        <item x="3"/>
        <item x="2"/>
        <item x="6"/>
        <item x="5"/>
        <item x="1"/>
        <item x="8"/>
        <item t="default"/>
      </items>
      <autoSortScope>
        <pivotArea dataOnly="0" outline="0" fieldPosition="0">
          <references count="1">
            <reference field="4294967294" count="1" selected="0">
              <x v="0"/>
            </reference>
          </references>
        </pivotArea>
      </autoSortScope>
    </pivotField>
    <pivotField showAll="0">
      <items count="7">
        <item x="5"/>
        <item x="0"/>
        <item x="1"/>
        <item x="2"/>
        <item x="3"/>
        <item x="4"/>
        <item t="default"/>
      </items>
    </pivotField>
    <pivotField dataField="1" showAll="0"/>
    <pivotField numFmtId="43" showAll="0"/>
    <pivotField numFmtId="43" showAll="0"/>
    <pivotField showAll="0"/>
    <pivotField showAll="0"/>
  </pivotFields>
  <rowFields count="1">
    <field x="6"/>
  </rowFields>
  <rowItems count="10">
    <i>
      <x v="6"/>
    </i>
    <i>
      <x v="7"/>
    </i>
    <i>
      <x v="2"/>
    </i>
    <i>
      <x v="3"/>
    </i>
    <i>
      <x v="1"/>
    </i>
    <i>
      <x v="5"/>
    </i>
    <i>
      <x v="4"/>
    </i>
    <i>
      <x/>
    </i>
    <i>
      <x v="8"/>
    </i>
    <i t="grand">
      <x/>
    </i>
  </rowItems>
  <colItems count="1">
    <i/>
  </colItems>
  <dataFields count="1">
    <dataField name="Sum of Units Sold" fld="8" baseField="0" baseItem="0"/>
  </dataFields>
  <formats count="1">
    <format dxfId="98">
      <pivotArea grandRow="1" outline="0" collapsedLevelsAreSubtotals="1"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26DB9E0-BFA5-45D8-908B-ED5A688AB17F}" sourceName="Category">
  <pivotTables>
    <pivotTable tabId="6" name="PivotTable3"/>
    <pivotTable tabId="6" name="PivotTable1"/>
    <pivotTable tabId="6" name="PivotTable4"/>
    <pivotTable tabId="6" name="PivotTable5"/>
    <pivotTable tabId="6" name="PivotTable7"/>
    <pivotTable tabId="6" name="PivotTable8"/>
    <pivotTable tabId="6" name="PivotTable9"/>
    <pivotTable tabId="6" name="PivotTable6"/>
  </pivotTables>
  <data>
    <tabular pivotCacheId="174506061">
      <items count="6">
        <i x="5" s="1"/>
        <i x="0" s="1"/>
        <i x="1" s="1"/>
        <i x="2" s="1"/>
        <i x="3" s="1"/>
        <i x="4"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1C2779E4-828F-44F9-BFC5-0CEF8C77DD2D}" cache="Slicer_Category" caption="Category" columnCount="6" showCaption="0" style="SlicerStyleLight3"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74FCD2-93AC-434E-8706-3BF8C950BF4D}" name="Table1" displayName="Table1" ref="A1:M102" totalsRowCount="1" headerRowDxfId="129" dataDxfId="127" headerRowBorderDxfId="128" tableBorderDxfId="126" totalsRowBorderDxfId="125">
  <autoFilter ref="A1:M101" xr:uid="{4974FCD2-93AC-434E-8706-3BF8C950BF4D}"/>
  <tableColumns count="13">
    <tableColumn id="1" xr3:uid="{D55AE18D-CE87-4E99-A82D-79A0870BA524}" name="Raw Date" dataDxfId="124" totalsRowDxfId="123">
      <calculatedColumnFormula>UPPER(SUBSTITUTE(SUBSTITUTE(SUBSTITUTE(CLEAN('Raw Data'!A2),"-","")," ",""),".",""))</calculatedColumnFormula>
    </tableColumn>
    <tableColumn id="10" xr3:uid="{D36FBA89-69B5-4443-837D-7859CA7D0D2A}" name="Day" dataDxfId="122" totalsRowDxfId="121">
      <calculatedColumnFormula>LEFT(Table1[[#This Row],[Raw Date]],2)</calculatedColumnFormula>
    </tableColumn>
    <tableColumn id="11" xr3:uid="{D2229754-79EE-4337-9784-D0EB01E88693}" name="Month" dataDxfId="120" totalsRowDxfId="119">
      <calculatedColumnFormula>TEXT(SUBSTITUTE(SUBSTITUTE(SUBSTITUTE(Table1[[#This Row],[Raw Date]],"AMR","MAR"),"JNA","JAN"),"PAR","APR"),"MMM")</calculatedColumnFormula>
    </tableColumn>
    <tableColumn id="12" xr3:uid="{D30A0A0A-1FA9-432D-80BF-FABD5D618CEA}" name="Year" dataDxfId="118" totalsRowDxfId="117">
      <calculatedColumnFormula>IF(YEAR(RIGHT(Table1[[#This Row],[Raw Date]],4))&lt;&gt;2025,2025,0)</calculatedColumnFormula>
    </tableColumn>
    <tableColumn id="13" xr3:uid="{14E0DA64-18EE-461B-ABE0-65D485D32BFA}" name="Date" dataDxfId="116" totalsRowDxfId="115">
      <calculatedColumnFormula>_xlfn.CONCAT(B2&amp;"-"&amp;C2&amp;"-"&amp;D2)</calculatedColumnFormula>
    </tableColumn>
    <tableColumn id="2" xr3:uid="{C292CE06-88CE-4CAD-99BB-B70FDF2F824B}" name="Region" dataDxfId="114" totalsRowDxfId="113">
      <calculatedColumnFormula array="1">_xlfn.IFS(LEFT(SUBSTITUTE('Raw Data'!B2," ",""),1)="s", "South", LEFT(SUBSTITUTE('Raw Data'!B2," ",""),1)="n", "North",LEFT(SUBSTITUTE('Raw Data'!B2," ",""),1)="e","East",LEFT(SUBSTITUTE('Raw Data'!B2," ",""),1)="w","West")</calculatedColumnFormula>
    </tableColumn>
    <tableColumn id="3" xr3:uid="{B9B58E9F-8961-49C5-B7D9-DE1D76C583FB}" name="Product" dataDxfId="112" totalsRowDxfId="111">
      <calculatedColumnFormula>PROPER(CLEAN(SUBSTITUTE(SUBSTITUTE(SUBSTITUTE('Raw Data'!C2," ",""),",",""),".","")))</calculatedColumnFormula>
    </tableColumn>
    <tableColumn id="4" xr3:uid="{D2338D8B-46CB-4441-9C48-87463BB3235D}" name="Category" dataDxfId="110" totalsRowDxfId="109">
      <calculatedColumnFormula array="1">_xlfn.IFS(LEFT(SUBSTITUTE('Raw Data'!D2," ",""),2)="pe", "Peripherals",LEFT(SUBSTITUTE('Raw Data'!D2," ",""),2)="au", "Audio",LEFT(SUBSTITUTE('Raw Data'!D2," ",""),2)="co", "Computers", LEFT(SUBSTITUTE('Raw Data'!D2," ",""),1)="e", "Electronics",LEFT(SUBSTITUTE('Raw Data'!D2," ",""),2)="mo","Mobile",LEFT(SUBSTITUTE('Raw Data'!D2," ",""),2)="ph","Photography")</calculatedColumnFormula>
    </tableColumn>
    <tableColumn id="5" xr3:uid="{D4ADFD38-7203-4A72-8F19-1382C1ECF17C}" name="Units Sold" totalsRowFunction="sum" dataDxfId="108" totalsRowDxfId="107">
      <calculatedColumnFormula>'Raw Data'!E2</calculatedColumnFormula>
    </tableColumn>
    <tableColumn id="6" xr3:uid="{E222993A-6F63-4213-AF5D-91E2774164F6}" name="Unit Price" dataDxfId="106" totalsRowDxfId="105" dataCellStyle="Comma" totalsRowCellStyle="Comma">
      <calculatedColumnFormula>'Raw Data'!F2</calculatedColumnFormula>
    </tableColumn>
    <tableColumn id="9" xr3:uid="{0DE3A63A-5895-4AD7-B275-E1CFADF2CF52}" name="Total Sales" totalsRowFunction="sum" dataDxfId="104" totalsRowDxfId="103">
      <calculatedColumnFormula>Table1[[#This Row],[Unit Price]]*Table1[[#This Row],[Units Sold]]</calculatedColumnFormula>
    </tableColumn>
    <tableColumn id="7" xr3:uid="{B688771B-3596-4A61-B4FC-5FAEBEC32F90}" name="Sales Rep" dataDxfId="102" totalsRowDxfId="101">
      <calculatedColumnFormula>UPPER(TRIM(CLEAN(SUBSTITUTE(SUBSTITUTE(SUBSTITUTE('Raw Data'!G2,",",""),".","")," ",""))))</calculatedColumnFormula>
    </tableColumn>
    <tableColumn id="8" xr3:uid="{60DF2396-3E51-4A9E-9E94-6D9F6EADDC63}" name="Customer" dataDxfId="100" totalsRowDxfId="99">
      <calculatedColumnFormula array="1">_xlfn.IFS(LEFT(SUBSTITUTE('Raw Data'!H2," ",""),1)="M", "Musa Enterprrises",LEFT(SUBSTITUTE('Raw Data'!H2," ",""),1)="o", "Omega Wholesale",LEFT(SUBSTITUTE('Raw Data'!H2," ",""),4)="Tola", "Tola Ventures", LEFT(SUBSTITUTE('Raw Data'!H2," ",""),1)="T", "Tope &amp; Sons",LEFT(SUBSTITUTE('Raw Data'!H2," ",""),1)="z","Zainab Global",LEFT(SUBSTITUTE('Raw Data'!H2," ",""),2)="Ma","Maryam Ltd",LEFT(SUBSTITUTE('Raw Data'!H2," ",""),1)="j","Jide Superstores",LEFT(SUBSTITUTE('Raw Data'!H2," ",""),1)="f","Femi Tech",LEFT(SUBSTITUTE('Raw Data'!H2," ",""),1)="k","Kelvin Tech",LEFT(SUBSTITUTE('Raw Data'!H2," ",""),1)="A","Adewale Stores",LEFT(SUBSTITUTE('Raw Data'!H2," ",""),2)="Al","Alpha Retailers",LEFT(SUBSTITUTE('Raw Data'!H2," ",""),1)="b","Bright Solutions",LEFT(SUBSTITUTE('Raw Data'!H2," ",""),1)="c","Chika Mart",LEFT(SUBSTITUTE('Raw Data'!H2," ",""),1)="e","Emeka Traders")</calculatedColumnFormula>
    </tableColumn>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671AE3-4DFA-46B3-8FA3-6F0C05532777}">
  <dimension ref="A1:O15"/>
  <sheetViews>
    <sheetView workbookViewId="0">
      <selection activeCell="E14" sqref="E14"/>
    </sheetView>
  </sheetViews>
  <sheetFormatPr defaultColWidth="0" defaultRowHeight="15" zeroHeight="1" x14ac:dyDescent="0.25"/>
  <cols>
    <col min="1" max="1" width="3.42578125" style="4" customWidth="1"/>
    <col min="2" max="15" width="8.7109375" style="4" customWidth="1"/>
    <col min="16" max="16384" width="8.7109375" style="4" hidden="1"/>
  </cols>
  <sheetData>
    <row r="1" spans="2:14" x14ac:dyDescent="0.25"/>
    <row r="2" spans="2:14" ht="34.5" thickBot="1" x14ac:dyDescent="0.55000000000000004">
      <c r="B2" s="5" t="s">
        <v>468</v>
      </c>
      <c r="C2" s="6"/>
      <c r="D2" s="6"/>
      <c r="E2" s="6"/>
      <c r="F2" s="6"/>
      <c r="G2" s="6"/>
      <c r="H2" s="6"/>
      <c r="I2" s="6"/>
      <c r="J2" s="6"/>
      <c r="K2" s="6"/>
      <c r="L2" s="6"/>
      <c r="M2" s="6"/>
      <c r="N2" s="6"/>
    </row>
    <row r="3" spans="2:14" x14ac:dyDescent="0.25"/>
    <row r="4" spans="2:14" x14ac:dyDescent="0.25"/>
    <row r="5" spans="2:14" x14ac:dyDescent="0.25"/>
    <row r="6" spans="2:14" x14ac:dyDescent="0.25"/>
    <row r="7" spans="2:14" x14ac:dyDescent="0.25"/>
    <row r="8" spans="2:14" x14ac:dyDescent="0.25"/>
    <row r="9" spans="2:14" x14ac:dyDescent="0.25"/>
    <row r="10" spans="2:14" x14ac:dyDescent="0.25"/>
    <row r="11" spans="2:14" x14ac:dyDescent="0.25"/>
    <row r="12" spans="2:14" x14ac:dyDescent="0.25"/>
    <row r="13" spans="2:14" x14ac:dyDescent="0.25"/>
    <row r="14" spans="2:14" x14ac:dyDescent="0.25"/>
    <row r="15" spans="2:14" x14ac:dyDescent="0.25"/>
  </sheetData>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1"/>
  <sheetViews>
    <sheetView workbookViewId="0">
      <pane ySplit="1" topLeftCell="A2" activePane="bottomLeft" state="frozen"/>
      <selection pane="bottomLeft" activeCell="A3" sqref="A3"/>
    </sheetView>
  </sheetViews>
  <sheetFormatPr defaultRowHeight="15" x14ac:dyDescent="0.25"/>
  <cols>
    <col min="1" max="8" width="18.85546875" customWidth="1"/>
    <col min="9" max="9" width="18.85546875" style="18" customWidth="1"/>
  </cols>
  <sheetData>
    <row r="1" spans="1:8" x14ac:dyDescent="0.25">
      <c r="A1" s="2" t="s">
        <v>0</v>
      </c>
      <c r="B1" s="2" t="s">
        <v>1</v>
      </c>
      <c r="C1" s="2" t="s">
        <v>2</v>
      </c>
      <c r="D1" s="2" t="s">
        <v>3</v>
      </c>
      <c r="E1" s="2" t="s">
        <v>4</v>
      </c>
      <c r="F1" s="2" t="s">
        <v>5</v>
      </c>
      <c r="G1" s="2" t="s">
        <v>6</v>
      </c>
      <c r="H1" s="2" t="s">
        <v>7</v>
      </c>
    </row>
    <row r="2" spans="1:8" x14ac:dyDescent="0.25">
      <c r="A2" s="3">
        <v>45821</v>
      </c>
      <c r="B2" s="1" t="s">
        <v>8</v>
      </c>
      <c r="C2" s="1" t="s">
        <v>9</v>
      </c>
      <c r="D2" s="1" t="s">
        <v>10</v>
      </c>
      <c r="E2" s="1">
        <v>8</v>
      </c>
      <c r="F2" s="1">
        <v>2500000</v>
      </c>
      <c r="G2" s="1" t="s">
        <v>11</v>
      </c>
      <c r="H2" s="1" t="s">
        <v>12</v>
      </c>
    </row>
    <row r="3" spans="1:8" x14ac:dyDescent="0.25">
      <c r="A3" s="3">
        <v>45755</v>
      </c>
      <c r="B3" s="1" t="s">
        <v>13</v>
      </c>
      <c r="C3" s="1" t="s">
        <v>14</v>
      </c>
      <c r="D3" s="1" t="s">
        <v>15</v>
      </c>
      <c r="E3" s="1">
        <v>6</v>
      </c>
      <c r="F3" s="1">
        <v>350000</v>
      </c>
      <c r="G3" s="1" t="s">
        <v>16</v>
      </c>
      <c r="H3" s="1" t="s">
        <v>17</v>
      </c>
    </row>
    <row r="4" spans="1:8" x14ac:dyDescent="0.25">
      <c r="A4" s="3">
        <v>45686</v>
      </c>
      <c r="B4" s="1" t="s">
        <v>18</v>
      </c>
      <c r="C4" s="1" t="s">
        <v>19</v>
      </c>
      <c r="D4" s="1" t="s">
        <v>20</v>
      </c>
      <c r="E4" s="1">
        <v>14</v>
      </c>
      <c r="F4" s="1">
        <v>180000</v>
      </c>
      <c r="G4" s="1" t="s">
        <v>21</v>
      </c>
      <c r="H4" s="1" t="s">
        <v>22</v>
      </c>
    </row>
    <row r="5" spans="1:8" x14ac:dyDescent="0.25">
      <c r="A5" s="1" t="s">
        <v>23</v>
      </c>
      <c r="B5" s="1" t="s">
        <v>24</v>
      </c>
      <c r="C5" s="1" t="s">
        <v>25</v>
      </c>
      <c r="D5" s="1" t="s">
        <v>26</v>
      </c>
      <c r="E5" s="1">
        <v>18</v>
      </c>
      <c r="F5" s="1">
        <v>65000</v>
      </c>
      <c r="G5" s="1" t="s">
        <v>27</v>
      </c>
      <c r="H5" s="1" t="s">
        <v>28</v>
      </c>
    </row>
    <row r="6" spans="1:8" x14ac:dyDescent="0.25">
      <c r="A6" s="1" t="s">
        <v>29</v>
      </c>
      <c r="B6" s="1" t="s">
        <v>30</v>
      </c>
      <c r="C6" s="1" t="s">
        <v>31</v>
      </c>
      <c r="D6" s="1" t="s">
        <v>32</v>
      </c>
      <c r="E6" s="1">
        <v>5</v>
      </c>
      <c r="F6" s="1">
        <v>180000</v>
      </c>
      <c r="G6" s="1" t="s">
        <v>33</v>
      </c>
      <c r="H6" s="1" t="s">
        <v>34</v>
      </c>
    </row>
    <row r="7" spans="1:8" x14ac:dyDescent="0.25">
      <c r="A7" s="1" t="s">
        <v>35</v>
      </c>
      <c r="B7" s="1" t="s">
        <v>36</v>
      </c>
      <c r="C7" s="1" t="s">
        <v>31</v>
      </c>
      <c r="D7" s="1" t="s">
        <v>37</v>
      </c>
      <c r="E7" s="1">
        <v>19</v>
      </c>
      <c r="F7" s="1">
        <v>157427</v>
      </c>
      <c r="G7" s="1" t="s">
        <v>38</v>
      </c>
      <c r="H7" s="1" t="s">
        <v>39</v>
      </c>
    </row>
    <row r="8" spans="1:8" x14ac:dyDescent="0.25">
      <c r="A8" s="1" t="s">
        <v>40</v>
      </c>
      <c r="B8" s="1" t="s">
        <v>41</v>
      </c>
      <c r="C8" s="1" t="s">
        <v>42</v>
      </c>
      <c r="D8" s="1" t="s">
        <v>43</v>
      </c>
      <c r="E8" s="1">
        <v>3</v>
      </c>
      <c r="F8" s="1">
        <v>350000</v>
      </c>
      <c r="G8" s="1" t="s">
        <v>44</v>
      </c>
      <c r="H8" s="1" t="s">
        <v>45</v>
      </c>
    </row>
    <row r="9" spans="1:8" x14ac:dyDescent="0.25">
      <c r="A9" s="1" t="s">
        <v>46</v>
      </c>
      <c r="B9" s="1" t="s">
        <v>47</v>
      </c>
      <c r="C9" s="1" t="s">
        <v>48</v>
      </c>
      <c r="D9" s="1" t="s">
        <v>49</v>
      </c>
      <c r="E9" s="1">
        <v>2</v>
      </c>
      <c r="F9" s="1">
        <v>65000</v>
      </c>
      <c r="G9" s="1" t="s">
        <v>50</v>
      </c>
      <c r="H9" s="1" t="s">
        <v>51</v>
      </c>
    </row>
    <row r="10" spans="1:8" x14ac:dyDescent="0.25">
      <c r="A10" s="1" t="s">
        <v>52</v>
      </c>
      <c r="B10" s="1" t="s">
        <v>53</v>
      </c>
      <c r="C10" s="1" t="s">
        <v>54</v>
      </c>
      <c r="D10" s="1" t="s">
        <v>55</v>
      </c>
      <c r="E10" s="1">
        <v>14</v>
      </c>
      <c r="F10" s="1">
        <v>175000</v>
      </c>
      <c r="G10" s="1" t="s">
        <v>56</v>
      </c>
      <c r="H10" s="1" t="s">
        <v>57</v>
      </c>
    </row>
    <row r="11" spans="1:8" x14ac:dyDescent="0.25">
      <c r="A11" s="1" t="s">
        <v>58</v>
      </c>
      <c r="B11" s="1" t="s">
        <v>59</v>
      </c>
      <c r="C11" s="1" t="s">
        <v>60</v>
      </c>
      <c r="D11" s="1" t="s">
        <v>61</v>
      </c>
      <c r="E11" s="1">
        <v>4</v>
      </c>
      <c r="F11" s="1">
        <v>150000</v>
      </c>
      <c r="G11" s="1" t="s">
        <v>62</v>
      </c>
      <c r="H11" s="1" t="s">
        <v>63</v>
      </c>
    </row>
    <row r="12" spans="1:8" x14ac:dyDescent="0.25">
      <c r="A12" s="1" t="s">
        <v>64</v>
      </c>
      <c r="B12" s="1" t="s">
        <v>65</v>
      </c>
      <c r="C12" s="1" t="s">
        <v>66</v>
      </c>
      <c r="D12" s="1" t="s">
        <v>67</v>
      </c>
      <c r="E12" s="1">
        <v>20</v>
      </c>
      <c r="F12" s="1">
        <v>150000</v>
      </c>
      <c r="G12" s="1" t="s">
        <v>68</v>
      </c>
      <c r="H12" s="1" t="s">
        <v>69</v>
      </c>
    </row>
    <row r="13" spans="1:8" x14ac:dyDescent="0.25">
      <c r="A13" s="1" t="s">
        <v>70</v>
      </c>
      <c r="B13" s="1" t="s">
        <v>71</v>
      </c>
      <c r="C13" s="1" t="s">
        <v>72</v>
      </c>
      <c r="D13" s="1" t="s">
        <v>73</v>
      </c>
      <c r="E13" s="1">
        <v>6</v>
      </c>
      <c r="F13" s="1">
        <v>85000</v>
      </c>
      <c r="G13" s="1" t="s">
        <v>74</v>
      </c>
      <c r="H13" s="1" t="s">
        <v>75</v>
      </c>
    </row>
    <row r="14" spans="1:8" x14ac:dyDescent="0.25">
      <c r="A14" s="1" t="s">
        <v>76</v>
      </c>
      <c r="B14" s="1" t="s">
        <v>41</v>
      </c>
      <c r="C14" s="1" t="s">
        <v>77</v>
      </c>
      <c r="D14" s="1" t="s">
        <v>78</v>
      </c>
      <c r="E14" s="1">
        <v>1</v>
      </c>
      <c r="F14" s="1">
        <v>150000</v>
      </c>
      <c r="G14" s="1" t="s">
        <v>79</v>
      </c>
      <c r="H14" s="1" t="s">
        <v>80</v>
      </c>
    </row>
    <row r="15" spans="1:8" x14ac:dyDescent="0.25">
      <c r="A15" s="1" t="s">
        <v>81</v>
      </c>
      <c r="B15" s="1" t="s">
        <v>82</v>
      </c>
      <c r="C15" s="1" t="s">
        <v>83</v>
      </c>
      <c r="D15" s="1" t="s">
        <v>15</v>
      </c>
      <c r="E15" s="1">
        <v>18</v>
      </c>
      <c r="F15" s="1">
        <v>35000</v>
      </c>
      <c r="G15" s="1" t="s">
        <v>84</v>
      </c>
      <c r="H15" s="1" t="s">
        <v>85</v>
      </c>
    </row>
    <row r="16" spans="1:8" x14ac:dyDescent="0.25">
      <c r="A16" s="1" t="s">
        <v>86</v>
      </c>
      <c r="B16" s="1" t="s">
        <v>87</v>
      </c>
      <c r="C16" s="1" t="s">
        <v>88</v>
      </c>
      <c r="D16" s="1" t="s">
        <v>89</v>
      </c>
      <c r="E16" s="1">
        <v>2</v>
      </c>
      <c r="F16" s="1">
        <v>85000</v>
      </c>
      <c r="G16" s="1" t="s">
        <v>90</v>
      </c>
      <c r="H16" s="1" t="s">
        <v>91</v>
      </c>
    </row>
    <row r="17" spans="1:8" x14ac:dyDescent="0.25">
      <c r="A17" s="1" t="s">
        <v>92</v>
      </c>
      <c r="B17" s="1" t="s">
        <v>93</v>
      </c>
      <c r="C17" s="1" t="s">
        <v>94</v>
      </c>
      <c r="D17" s="1" t="s">
        <v>95</v>
      </c>
      <c r="E17" s="1">
        <v>11</v>
      </c>
      <c r="F17" s="1">
        <v>62035</v>
      </c>
      <c r="G17" s="1" t="s">
        <v>96</v>
      </c>
      <c r="H17" s="1" t="s">
        <v>97</v>
      </c>
    </row>
    <row r="18" spans="1:8" x14ac:dyDescent="0.25">
      <c r="A18" s="1" t="s">
        <v>98</v>
      </c>
      <c r="B18" s="1" t="s">
        <v>99</v>
      </c>
      <c r="C18" s="1" t="s">
        <v>100</v>
      </c>
      <c r="D18" s="1" t="s">
        <v>101</v>
      </c>
      <c r="E18" s="1">
        <v>10</v>
      </c>
      <c r="F18" s="1">
        <v>175000</v>
      </c>
      <c r="G18" s="1" t="s">
        <v>102</v>
      </c>
      <c r="H18" s="1" t="s">
        <v>75</v>
      </c>
    </row>
    <row r="19" spans="1:8" x14ac:dyDescent="0.25">
      <c r="A19" s="1" t="s">
        <v>103</v>
      </c>
      <c r="B19" s="1" t="s">
        <v>104</v>
      </c>
      <c r="C19" s="1" t="s">
        <v>105</v>
      </c>
      <c r="D19" s="1" t="s">
        <v>37</v>
      </c>
      <c r="E19" s="1">
        <v>4</v>
      </c>
      <c r="F19" s="1">
        <v>150000</v>
      </c>
      <c r="G19" s="1" t="s">
        <v>106</v>
      </c>
      <c r="H19" s="1" t="s">
        <v>107</v>
      </c>
    </row>
    <row r="20" spans="1:8" x14ac:dyDescent="0.25">
      <c r="A20" s="1" t="s">
        <v>108</v>
      </c>
      <c r="B20" s="1" t="s">
        <v>59</v>
      </c>
      <c r="C20" s="1" t="s">
        <v>109</v>
      </c>
      <c r="D20" s="1" t="s">
        <v>110</v>
      </c>
      <c r="E20" s="1">
        <v>3</v>
      </c>
      <c r="F20" s="1">
        <v>175000</v>
      </c>
      <c r="G20" s="1" t="s">
        <v>111</v>
      </c>
      <c r="H20" s="1" t="s">
        <v>112</v>
      </c>
    </row>
    <row r="21" spans="1:8" x14ac:dyDescent="0.25">
      <c r="A21" s="1" t="s">
        <v>113</v>
      </c>
      <c r="B21" s="1" t="s">
        <v>114</v>
      </c>
      <c r="C21" s="1" t="s">
        <v>115</v>
      </c>
      <c r="D21" s="1" t="s">
        <v>110</v>
      </c>
      <c r="E21" s="1">
        <v>5</v>
      </c>
      <c r="F21" s="1">
        <v>175000</v>
      </c>
      <c r="G21" s="1" t="s">
        <v>116</v>
      </c>
      <c r="H21" s="1" t="s">
        <v>112</v>
      </c>
    </row>
    <row r="22" spans="1:8" x14ac:dyDescent="0.25">
      <c r="A22" s="1" t="s">
        <v>117</v>
      </c>
      <c r="B22" s="1" t="s">
        <v>118</v>
      </c>
      <c r="C22" s="1" t="s">
        <v>119</v>
      </c>
      <c r="D22" s="1" t="s">
        <v>120</v>
      </c>
      <c r="E22" s="1">
        <v>20</v>
      </c>
      <c r="F22" s="1">
        <v>250000</v>
      </c>
      <c r="G22" s="1" t="s">
        <v>121</v>
      </c>
      <c r="H22" s="1" t="s">
        <v>39</v>
      </c>
    </row>
    <row r="23" spans="1:8" x14ac:dyDescent="0.25">
      <c r="A23" s="1" t="s">
        <v>122</v>
      </c>
      <c r="B23" s="1" t="s">
        <v>99</v>
      </c>
      <c r="C23" s="1" t="s">
        <v>123</v>
      </c>
      <c r="D23" s="1" t="s">
        <v>124</v>
      </c>
      <c r="E23" s="1">
        <v>2</v>
      </c>
      <c r="F23" s="1">
        <v>175000</v>
      </c>
      <c r="G23" s="1" t="s">
        <v>125</v>
      </c>
      <c r="H23" s="1" t="s">
        <v>126</v>
      </c>
    </row>
    <row r="24" spans="1:8" x14ac:dyDescent="0.25">
      <c r="A24" s="1" t="s">
        <v>127</v>
      </c>
      <c r="B24" s="1" t="s">
        <v>128</v>
      </c>
      <c r="C24" s="1" t="s">
        <v>129</v>
      </c>
      <c r="D24" s="1" t="s">
        <v>130</v>
      </c>
      <c r="E24" s="1">
        <v>20</v>
      </c>
      <c r="F24" s="1">
        <v>150000</v>
      </c>
      <c r="G24" s="1" t="s">
        <v>102</v>
      </c>
      <c r="H24" s="1" t="s">
        <v>131</v>
      </c>
    </row>
    <row r="25" spans="1:8" x14ac:dyDescent="0.25">
      <c r="A25" s="1" t="s">
        <v>132</v>
      </c>
      <c r="B25" s="1" t="s">
        <v>133</v>
      </c>
      <c r="C25" s="1" t="s">
        <v>134</v>
      </c>
      <c r="D25" s="1" t="s">
        <v>135</v>
      </c>
      <c r="E25" s="1">
        <v>8</v>
      </c>
      <c r="F25" s="1">
        <v>150000</v>
      </c>
      <c r="G25" s="1" t="s">
        <v>136</v>
      </c>
      <c r="H25" s="1" t="s">
        <v>137</v>
      </c>
    </row>
    <row r="26" spans="1:8" x14ac:dyDescent="0.25">
      <c r="A26" s="1" t="s">
        <v>138</v>
      </c>
      <c r="B26" s="1" t="s">
        <v>139</v>
      </c>
      <c r="C26" s="1" t="s">
        <v>140</v>
      </c>
      <c r="D26" s="1" t="s">
        <v>141</v>
      </c>
      <c r="E26" s="1">
        <v>19</v>
      </c>
      <c r="F26" s="1">
        <v>250000</v>
      </c>
      <c r="G26" s="1" t="s">
        <v>142</v>
      </c>
      <c r="H26" s="1" t="s">
        <v>143</v>
      </c>
    </row>
    <row r="27" spans="1:8" x14ac:dyDescent="0.25">
      <c r="A27" s="1" t="s">
        <v>144</v>
      </c>
      <c r="B27" s="1" t="s">
        <v>145</v>
      </c>
      <c r="C27" s="1" t="s">
        <v>146</v>
      </c>
      <c r="D27" s="1" t="s">
        <v>147</v>
      </c>
      <c r="E27" s="1">
        <v>12</v>
      </c>
      <c r="F27" s="1">
        <v>175000</v>
      </c>
      <c r="G27" s="1" t="s">
        <v>148</v>
      </c>
      <c r="H27" s="1" t="s">
        <v>75</v>
      </c>
    </row>
    <row r="28" spans="1:8" x14ac:dyDescent="0.25">
      <c r="A28" s="1" t="s">
        <v>149</v>
      </c>
      <c r="B28" s="1" t="s">
        <v>150</v>
      </c>
      <c r="C28" s="1" t="s">
        <v>151</v>
      </c>
      <c r="D28" s="1" t="s">
        <v>152</v>
      </c>
      <c r="E28" s="1">
        <v>11</v>
      </c>
      <c r="F28" s="1">
        <v>85000</v>
      </c>
      <c r="G28" s="1" t="s">
        <v>153</v>
      </c>
      <c r="H28" s="1" t="s">
        <v>154</v>
      </c>
    </row>
    <row r="29" spans="1:8" x14ac:dyDescent="0.25">
      <c r="A29" s="1" t="s">
        <v>155</v>
      </c>
      <c r="B29" s="1" t="s">
        <v>133</v>
      </c>
      <c r="C29" s="1" t="s">
        <v>156</v>
      </c>
      <c r="D29" s="1" t="s">
        <v>157</v>
      </c>
      <c r="E29" s="1">
        <v>17</v>
      </c>
      <c r="F29" s="1">
        <v>65000</v>
      </c>
      <c r="G29" s="1" t="s">
        <v>116</v>
      </c>
      <c r="H29" s="1" t="s">
        <v>158</v>
      </c>
    </row>
    <row r="30" spans="1:8" x14ac:dyDescent="0.25">
      <c r="A30" s="1" t="s">
        <v>159</v>
      </c>
      <c r="B30" s="1" t="s">
        <v>160</v>
      </c>
      <c r="C30" s="1" t="s">
        <v>161</v>
      </c>
      <c r="D30" s="1" t="s">
        <v>162</v>
      </c>
      <c r="E30" s="1">
        <v>15</v>
      </c>
      <c r="F30" s="1">
        <v>350000</v>
      </c>
      <c r="G30" s="1" t="s">
        <v>471</v>
      </c>
      <c r="H30" s="1" t="s">
        <v>163</v>
      </c>
    </row>
    <row r="31" spans="1:8" x14ac:dyDescent="0.25">
      <c r="A31" s="1" t="s">
        <v>164</v>
      </c>
      <c r="B31" s="1" t="s">
        <v>47</v>
      </c>
      <c r="C31" s="1" t="s">
        <v>14</v>
      </c>
      <c r="D31" s="1" t="s">
        <v>165</v>
      </c>
      <c r="E31" s="1">
        <v>8</v>
      </c>
      <c r="F31" s="1">
        <v>350000</v>
      </c>
      <c r="G31" s="1" t="s">
        <v>166</v>
      </c>
      <c r="H31" s="1" t="s">
        <v>167</v>
      </c>
    </row>
    <row r="32" spans="1:8" x14ac:dyDescent="0.25">
      <c r="A32" s="1" t="s">
        <v>168</v>
      </c>
      <c r="B32" s="1" t="s">
        <v>169</v>
      </c>
      <c r="C32" s="1" t="s">
        <v>14</v>
      </c>
      <c r="D32" s="1" t="s">
        <v>170</v>
      </c>
      <c r="E32" s="1">
        <v>14</v>
      </c>
      <c r="F32" s="1">
        <v>350000</v>
      </c>
      <c r="G32" s="1" t="s">
        <v>84</v>
      </c>
      <c r="H32" s="1" t="s">
        <v>171</v>
      </c>
    </row>
    <row r="33" spans="1:8" x14ac:dyDescent="0.25">
      <c r="A33" s="1" t="s">
        <v>172</v>
      </c>
      <c r="B33" s="1" t="s">
        <v>99</v>
      </c>
      <c r="C33" s="1" t="s">
        <v>173</v>
      </c>
      <c r="D33" s="1" t="s">
        <v>174</v>
      </c>
      <c r="E33" s="1">
        <v>12</v>
      </c>
      <c r="F33" s="1">
        <v>150000</v>
      </c>
      <c r="G33" s="1" t="s">
        <v>21</v>
      </c>
      <c r="H33" s="1" t="s">
        <v>175</v>
      </c>
    </row>
    <row r="34" spans="1:8" x14ac:dyDescent="0.25">
      <c r="A34" s="1" t="s">
        <v>176</v>
      </c>
      <c r="B34" s="1" t="s">
        <v>177</v>
      </c>
      <c r="C34" s="1" t="s">
        <v>115</v>
      </c>
      <c r="D34" s="1" t="s">
        <v>178</v>
      </c>
      <c r="E34" s="1">
        <v>8</v>
      </c>
      <c r="F34" s="1">
        <v>175000</v>
      </c>
      <c r="G34" s="1" t="s">
        <v>179</v>
      </c>
      <c r="H34" s="1" t="s">
        <v>180</v>
      </c>
    </row>
    <row r="35" spans="1:8" x14ac:dyDescent="0.25">
      <c r="A35" s="1" t="s">
        <v>181</v>
      </c>
      <c r="B35" s="1" t="s">
        <v>8</v>
      </c>
      <c r="C35" s="1" t="s">
        <v>129</v>
      </c>
      <c r="D35" s="1" t="s">
        <v>182</v>
      </c>
      <c r="E35" s="1">
        <v>6</v>
      </c>
      <c r="F35" s="1">
        <v>150000</v>
      </c>
      <c r="G35" s="1" t="s">
        <v>183</v>
      </c>
      <c r="H35" s="1" t="s">
        <v>184</v>
      </c>
    </row>
    <row r="36" spans="1:8" x14ac:dyDescent="0.25">
      <c r="A36" s="1" t="s">
        <v>185</v>
      </c>
      <c r="B36" s="1" t="s">
        <v>59</v>
      </c>
      <c r="C36" s="1" t="s">
        <v>186</v>
      </c>
      <c r="D36" s="1" t="s">
        <v>120</v>
      </c>
      <c r="E36" s="1">
        <v>20</v>
      </c>
      <c r="F36" s="1">
        <v>2500000</v>
      </c>
      <c r="G36" s="1" t="s">
        <v>187</v>
      </c>
      <c r="H36" s="1" t="s">
        <v>188</v>
      </c>
    </row>
    <row r="37" spans="1:8" x14ac:dyDescent="0.25">
      <c r="A37" s="1" t="s">
        <v>189</v>
      </c>
      <c r="B37" s="1" t="s">
        <v>24</v>
      </c>
      <c r="C37" s="1" t="s">
        <v>190</v>
      </c>
      <c r="D37" s="1" t="s">
        <v>191</v>
      </c>
      <c r="E37" s="1">
        <v>12</v>
      </c>
      <c r="F37" s="1">
        <v>65000</v>
      </c>
      <c r="G37" s="1" t="s">
        <v>50</v>
      </c>
      <c r="H37" s="1" t="s">
        <v>192</v>
      </c>
    </row>
    <row r="38" spans="1:8" x14ac:dyDescent="0.25">
      <c r="A38" s="1" t="s">
        <v>193</v>
      </c>
      <c r="B38" s="1" t="s">
        <v>160</v>
      </c>
      <c r="C38" s="1" t="s">
        <v>194</v>
      </c>
      <c r="D38" s="1" t="s">
        <v>195</v>
      </c>
      <c r="E38" s="1">
        <v>4</v>
      </c>
      <c r="F38" s="1">
        <v>73740</v>
      </c>
      <c r="G38" s="1" t="s">
        <v>196</v>
      </c>
      <c r="H38" s="1" t="s">
        <v>197</v>
      </c>
    </row>
    <row r="39" spans="1:8" x14ac:dyDescent="0.25">
      <c r="A39" s="1" t="s">
        <v>198</v>
      </c>
      <c r="B39" s="1" t="s">
        <v>199</v>
      </c>
      <c r="C39" s="1" t="s">
        <v>200</v>
      </c>
      <c r="D39" s="1" t="s">
        <v>201</v>
      </c>
      <c r="E39" s="1">
        <v>18</v>
      </c>
      <c r="F39" s="1">
        <v>175000</v>
      </c>
      <c r="G39" s="1" t="s">
        <v>202</v>
      </c>
      <c r="H39" s="1" t="s">
        <v>91</v>
      </c>
    </row>
    <row r="40" spans="1:8" x14ac:dyDescent="0.25">
      <c r="A40" s="1" t="s">
        <v>203</v>
      </c>
      <c r="B40" s="1" t="s">
        <v>204</v>
      </c>
      <c r="C40" s="1" t="s">
        <v>205</v>
      </c>
      <c r="D40" s="1" t="s">
        <v>206</v>
      </c>
      <c r="E40" s="1">
        <v>10</v>
      </c>
      <c r="F40" s="1">
        <v>180000</v>
      </c>
      <c r="G40" s="1" t="s">
        <v>207</v>
      </c>
      <c r="H40" s="1" t="s">
        <v>208</v>
      </c>
    </row>
    <row r="41" spans="1:8" x14ac:dyDescent="0.25">
      <c r="A41" s="1" t="s">
        <v>209</v>
      </c>
      <c r="B41" s="1" t="s">
        <v>128</v>
      </c>
      <c r="C41" s="1" t="s">
        <v>210</v>
      </c>
      <c r="D41" s="1" t="s">
        <v>157</v>
      </c>
      <c r="E41" s="1">
        <v>10</v>
      </c>
      <c r="F41" s="1">
        <v>65000</v>
      </c>
      <c r="G41" s="1" t="s">
        <v>470</v>
      </c>
      <c r="H41" s="1" t="s">
        <v>211</v>
      </c>
    </row>
    <row r="42" spans="1:8" x14ac:dyDescent="0.25">
      <c r="A42" s="1" t="s">
        <v>70</v>
      </c>
      <c r="B42" s="1" t="s">
        <v>212</v>
      </c>
      <c r="C42" s="1" t="s">
        <v>173</v>
      </c>
      <c r="D42" s="1" t="s">
        <v>20</v>
      </c>
      <c r="E42" s="1">
        <v>3</v>
      </c>
      <c r="F42" s="1">
        <v>150000</v>
      </c>
      <c r="G42" s="1" t="s">
        <v>213</v>
      </c>
      <c r="H42" s="1" t="s">
        <v>214</v>
      </c>
    </row>
    <row r="43" spans="1:8" x14ac:dyDescent="0.25">
      <c r="A43" s="1" t="s">
        <v>215</v>
      </c>
      <c r="B43" s="1" t="s">
        <v>216</v>
      </c>
      <c r="C43" s="1" t="s">
        <v>217</v>
      </c>
      <c r="D43" s="1" t="s">
        <v>20</v>
      </c>
      <c r="E43" s="1">
        <v>8</v>
      </c>
      <c r="F43" s="1">
        <v>180000</v>
      </c>
      <c r="G43" s="1" t="s">
        <v>79</v>
      </c>
      <c r="H43" s="1" t="s">
        <v>75</v>
      </c>
    </row>
    <row r="44" spans="1:8" x14ac:dyDescent="0.25">
      <c r="A44" s="1" t="s">
        <v>218</v>
      </c>
      <c r="B44" s="1" t="s">
        <v>219</v>
      </c>
      <c r="C44" s="1" t="s">
        <v>220</v>
      </c>
      <c r="D44" s="1" t="s">
        <v>141</v>
      </c>
      <c r="E44" s="1">
        <v>3</v>
      </c>
      <c r="F44" s="1">
        <v>250000</v>
      </c>
      <c r="G44" s="1" t="s">
        <v>221</v>
      </c>
      <c r="H44" s="1" t="s">
        <v>222</v>
      </c>
    </row>
    <row r="45" spans="1:8" x14ac:dyDescent="0.25">
      <c r="A45" s="1" t="s">
        <v>223</v>
      </c>
      <c r="B45" s="1" t="s">
        <v>224</v>
      </c>
      <c r="C45" s="1" t="s">
        <v>225</v>
      </c>
      <c r="D45" s="1" t="s">
        <v>226</v>
      </c>
      <c r="E45" s="1">
        <v>18</v>
      </c>
      <c r="F45" s="1">
        <v>85000</v>
      </c>
      <c r="G45" s="1" t="s">
        <v>227</v>
      </c>
      <c r="H45" s="1" t="s">
        <v>180</v>
      </c>
    </row>
    <row r="46" spans="1:8" x14ac:dyDescent="0.25">
      <c r="A46" s="1" t="s">
        <v>228</v>
      </c>
      <c r="B46" s="1" t="s">
        <v>229</v>
      </c>
      <c r="C46" s="1" t="s">
        <v>60</v>
      </c>
      <c r="D46" s="1" t="s">
        <v>37</v>
      </c>
      <c r="E46" s="1">
        <v>9</v>
      </c>
      <c r="F46" s="1">
        <v>150000</v>
      </c>
      <c r="G46" s="1" t="s">
        <v>230</v>
      </c>
      <c r="H46" s="1" t="s">
        <v>231</v>
      </c>
    </row>
    <row r="47" spans="1:8" x14ac:dyDescent="0.25">
      <c r="A47" s="1" t="s">
        <v>232</v>
      </c>
      <c r="B47" s="1" t="s">
        <v>233</v>
      </c>
      <c r="C47" s="1" t="s">
        <v>234</v>
      </c>
      <c r="D47" s="1" t="s">
        <v>235</v>
      </c>
      <c r="E47" s="1">
        <v>18</v>
      </c>
      <c r="F47" s="1">
        <v>150000</v>
      </c>
      <c r="G47" s="1" t="s">
        <v>236</v>
      </c>
      <c r="H47" s="1" t="s">
        <v>237</v>
      </c>
    </row>
    <row r="48" spans="1:8" x14ac:dyDescent="0.25">
      <c r="A48" s="1" t="s">
        <v>238</v>
      </c>
      <c r="B48" s="1" t="s">
        <v>239</v>
      </c>
      <c r="C48" s="1" t="s">
        <v>129</v>
      </c>
      <c r="D48" s="1" t="s">
        <v>67</v>
      </c>
      <c r="E48" s="1">
        <v>11</v>
      </c>
      <c r="F48" s="1">
        <v>150000</v>
      </c>
      <c r="G48" s="1" t="s">
        <v>240</v>
      </c>
      <c r="H48" s="1" t="s">
        <v>241</v>
      </c>
    </row>
    <row r="49" spans="1:8" x14ac:dyDescent="0.25">
      <c r="A49" s="1" t="s">
        <v>242</v>
      </c>
      <c r="B49" s="1" t="s">
        <v>243</v>
      </c>
      <c r="C49" s="1" t="s">
        <v>244</v>
      </c>
      <c r="D49" s="1" t="s">
        <v>165</v>
      </c>
      <c r="E49" s="1">
        <v>4</v>
      </c>
      <c r="F49" s="1">
        <v>350000</v>
      </c>
      <c r="G49" s="1" t="s">
        <v>245</v>
      </c>
      <c r="H49" s="1" t="s">
        <v>246</v>
      </c>
    </row>
    <row r="50" spans="1:8" x14ac:dyDescent="0.25">
      <c r="A50" s="1" t="s">
        <v>247</v>
      </c>
      <c r="B50" s="1" t="s">
        <v>87</v>
      </c>
      <c r="C50" s="1" t="s">
        <v>105</v>
      </c>
      <c r="D50" s="1" t="s">
        <v>248</v>
      </c>
      <c r="E50" s="1">
        <v>19</v>
      </c>
      <c r="F50" s="1">
        <v>150000</v>
      </c>
      <c r="G50" s="1" t="s">
        <v>469</v>
      </c>
      <c r="H50" s="1" t="s">
        <v>249</v>
      </c>
    </row>
    <row r="51" spans="1:8" x14ac:dyDescent="0.25">
      <c r="A51" s="1" t="s">
        <v>250</v>
      </c>
      <c r="B51" s="1" t="s">
        <v>53</v>
      </c>
      <c r="C51" s="1" t="s">
        <v>251</v>
      </c>
      <c r="D51" s="1" t="s">
        <v>252</v>
      </c>
      <c r="E51" s="1">
        <v>7</v>
      </c>
      <c r="F51" s="1">
        <v>85000</v>
      </c>
      <c r="G51" s="1" t="s">
        <v>253</v>
      </c>
      <c r="H51" s="1" t="s">
        <v>254</v>
      </c>
    </row>
    <row r="52" spans="1:8" x14ac:dyDescent="0.25">
      <c r="A52" s="1" t="s">
        <v>255</v>
      </c>
      <c r="B52" s="1" t="s">
        <v>256</v>
      </c>
      <c r="C52" s="1" t="s">
        <v>257</v>
      </c>
      <c r="D52" s="1" t="s">
        <v>258</v>
      </c>
      <c r="E52" s="1">
        <v>13</v>
      </c>
      <c r="F52" s="1">
        <v>57912</v>
      </c>
      <c r="G52" s="1" t="s">
        <v>259</v>
      </c>
      <c r="H52" s="1" t="s">
        <v>260</v>
      </c>
    </row>
    <row r="53" spans="1:8" x14ac:dyDescent="0.25">
      <c r="A53" s="1" t="s">
        <v>261</v>
      </c>
      <c r="B53" s="1" t="s">
        <v>128</v>
      </c>
      <c r="C53" s="1" t="s">
        <v>156</v>
      </c>
      <c r="D53" s="1" t="s">
        <v>262</v>
      </c>
      <c r="E53" s="1">
        <v>18</v>
      </c>
      <c r="F53" s="1">
        <v>650000</v>
      </c>
      <c r="G53" s="1" t="s">
        <v>263</v>
      </c>
      <c r="H53" s="1" t="s">
        <v>264</v>
      </c>
    </row>
    <row r="54" spans="1:8" x14ac:dyDescent="0.25">
      <c r="A54" s="1" t="s">
        <v>265</v>
      </c>
      <c r="B54" s="1" t="s">
        <v>266</v>
      </c>
      <c r="C54" s="1" t="s">
        <v>94</v>
      </c>
      <c r="D54" s="1" t="s">
        <v>191</v>
      </c>
      <c r="E54" s="1">
        <v>5</v>
      </c>
      <c r="F54" s="1">
        <v>65000</v>
      </c>
      <c r="G54" s="1" t="s">
        <v>267</v>
      </c>
      <c r="H54" s="1" t="s">
        <v>268</v>
      </c>
    </row>
    <row r="55" spans="1:8" x14ac:dyDescent="0.25">
      <c r="A55" s="1" t="s">
        <v>269</v>
      </c>
      <c r="B55" s="1" t="s">
        <v>8</v>
      </c>
      <c r="C55" s="1" t="s">
        <v>244</v>
      </c>
      <c r="D55" s="1" t="s">
        <v>43</v>
      </c>
      <c r="E55" s="1">
        <v>13</v>
      </c>
      <c r="F55" s="1">
        <v>350000</v>
      </c>
      <c r="G55" s="1" t="s">
        <v>116</v>
      </c>
      <c r="H55" s="1" t="s">
        <v>270</v>
      </c>
    </row>
    <row r="56" spans="1:8" x14ac:dyDescent="0.25">
      <c r="A56" s="1" t="s">
        <v>271</v>
      </c>
      <c r="B56" s="1" t="s">
        <v>272</v>
      </c>
      <c r="C56" s="1" t="s">
        <v>273</v>
      </c>
      <c r="D56" s="1" t="s">
        <v>165</v>
      </c>
      <c r="E56" s="1">
        <v>19</v>
      </c>
      <c r="F56" s="1">
        <v>350000</v>
      </c>
      <c r="G56" s="1" t="s">
        <v>274</v>
      </c>
      <c r="H56" s="1" t="s">
        <v>275</v>
      </c>
    </row>
    <row r="57" spans="1:8" x14ac:dyDescent="0.25">
      <c r="A57" s="1" t="s">
        <v>276</v>
      </c>
      <c r="B57" s="1" t="s">
        <v>277</v>
      </c>
      <c r="C57" s="1" t="s">
        <v>278</v>
      </c>
      <c r="D57" s="1" t="s">
        <v>32</v>
      </c>
      <c r="E57" s="1">
        <v>9</v>
      </c>
      <c r="F57" s="1">
        <v>180000</v>
      </c>
      <c r="G57" s="1" t="s">
        <v>279</v>
      </c>
      <c r="H57" s="1" t="s">
        <v>280</v>
      </c>
    </row>
    <row r="58" spans="1:8" x14ac:dyDescent="0.25">
      <c r="A58" s="1" t="s">
        <v>281</v>
      </c>
      <c r="B58" s="1" t="s">
        <v>93</v>
      </c>
      <c r="C58" s="1" t="s">
        <v>282</v>
      </c>
      <c r="D58" s="1" t="s">
        <v>283</v>
      </c>
      <c r="E58" s="1">
        <v>10</v>
      </c>
      <c r="F58" s="1">
        <v>150000</v>
      </c>
      <c r="G58" s="1" t="s">
        <v>284</v>
      </c>
      <c r="H58" s="1" t="s">
        <v>285</v>
      </c>
    </row>
    <row r="59" spans="1:8" x14ac:dyDescent="0.25">
      <c r="A59" s="1" t="s">
        <v>286</v>
      </c>
      <c r="B59" s="1" t="s">
        <v>287</v>
      </c>
      <c r="C59" s="1" t="s">
        <v>251</v>
      </c>
      <c r="D59" s="1" t="s">
        <v>288</v>
      </c>
      <c r="E59" s="1">
        <v>10</v>
      </c>
      <c r="F59" s="1">
        <v>85000</v>
      </c>
      <c r="G59" s="1" t="s">
        <v>279</v>
      </c>
      <c r="H59" s="1" t="s">
        <v>289</v>
      </c>
    </row>
    <row r="60" spans="1:8" x14ac:dyDescent="0.25">
      <c r="A60" s="1" t="s">
        <v>290</v>
      </c>
      <c r="B60" s="1" t="s">
        <v>291</v>
      </c>
      <c r="C60" s="1" t="s">
        <v>292</v>
      </c>
      <c r="D60" s="1" t="s">
        <v>293</v>
      </c>
      <c r="E60" s="1">
        <v>5</v>
      </c>
      <c r="F60" s="1">
        <v>25000</v>
      </c>
      <c r="G60" s="1" t="s">
        <v>294</v>
      </c>
      <c r="H60" s="1" t="s">
        <v>295</v>
      </c>
    </row>
    <row r="61" spans="1:8" x14ac:dyDescent="0.25">
      <c r="A61" s="1" t="s">
        <v>108</v>
      </c>
      <c r="B61" s="1" t="s">
        <v>296</v>
      </c>
      <c r="C61" s="1" t="s">
        <v>173</v>
      </c>
      <c r="D61" s="1" t="s">
        <v>283</v>
      </c>
      <c r="E61" s="1">
        <v>1</v>
      </c>
      <c r="F61" s="1">
        <v>150000</v>
      </c>
      <c r="G61" s="1" t="s">
        <v>121</v>
      </c>
      <c r="H61" s="1" t="s">
        <v>17</v>
      </c>
    </row>
    <row r="62" spans="1:8" x14ac:dyDescent="0.25">
      <c r="A62" s="1" t="s">
        <v>297</v>
      </c>
      <c r="B62" s="1" t="s">
        <v>298</v>
      </c>
      <c r="C62" s="1" t="s">
        <v>299</v>
      </c>
      <c r="D62" s="1" t="s">
        <v>300</v>
      </c>
      <c r="E62" s="1">
        <v>20</v>
      </c>
      <c r="F62" s="1">
        <v>150000</v>
      </c>
      <c r="G62" s="1" t="s">
        <v>301</v>
      </c>
      <c r="H62" s="1" t="s">
        <v>302</v>
      </c>
    </row>
    <row r="63" spans="1:8" x14ac:dyDescent="0.25">
      <c r="A63" s="1" t="s">
        <v>185</v>
      </c>
      <c r="B63" s="1" t="s">
        <v>303</v>
      </c>
      <c r="C63" s="1" t="s">
        <v>304</v>
      </c>
      <c r="D63" s="1" t="s">
        <v>305</v>
      </c>
      <c r="E63" s="1">
        <v>11</v>
      </c>
      <c r="F63" s="1">
        <v>350000</v>
      </c>
      <c r="G63" s="1" t="s">
        <v>306</v>
      </c>
      <c r="H63" s="1" t="s">
        <v>307</v>
      </c>
    </row>
    <row r="64" spans="1:8" x14ac:dyDescent="0.25">
      <c r="A64" s="1" t="s">
        <v>308</v>
      </c>
      <c r="B64" s="1" t="s">
        <v>309</v>
      </c>
      <c r="C64" s="1" t="s">
        <v>310</v>
      </c>
      <c r="D64" s="1" t="s">
        <v>311</v>
      </c>
      <c r="E64" s="1">
        <v>14</v>
      </c>
      <c r="F64" s="1">
        <v>250000</v>
      </c>
      <c r="G64" s="1" t="s">
        <v>312</v>
      </c>
      <c r="H64" s="1" t="s">
        <v>313</v>
      </c>
    </row>
    <row r="65" spans="1:8" x14ac:dyDescent="0.25">
      <c r="A65" s="1" t="s">
        <v>314</v>
      </c>
      <c r="B65" s="1" t="s">
        <v>315</v>
      </c>
      <c r="C65" s="1" t="s">
        <v>105</v>
      </c>
      <c r="D65" s="1" t="s">
        <v>20</v>
      </c>
      <c r="E65" s="1">
        <v>3</v>
      </c>
      <c r="F65" s="1">
        <v>150000</v>
      </c>
      <c r="G65" s="1" t="s">
        <v>316</v>
      </c>
      <c r="H65" s="1" t="s">
        <v>12</v>
      </c>
    </row>
    <row r="66" spans="1:8" x14ac:dyDescent="0.25">
      <c r="A66" s="1" t="s">
        <v>317</v>
      </c>
      <c r="B66" s="1" t="s">
        <v>296</v>
      </c>
      <c r="C66" s="1" t="s">
        <v>318</v>
      </c>
      <c r="D66" s="1" t="s">
        <v>226</v>
      </c>
      <c r="E66" s="1">
        <v>6</v>
      </c>
      <c r="F66" s="1">
        <v>85000</v>
      </c>
      <c r="G66" s="1" t="s">
        <v>319</v>
      </c>
      <c r="H66" s="1" t="s">
        <v>320</v>
      </c>
    </row>
    <row r="67" spans="1:8" x14ac:dyDescent="0.25">
      <c r="A67" s="1" t="s">
        <v>321</v>
      </c>
      <c r="B67" s="1" t="s">
        <v>322</v>
      </c>
      <c r="C67" s="1" t="s">
        <v>304</v>
      </c>
      <c r="D67" s="1" t="s">
        <v>15</v>
      </c>
      <c r="E67" s="1">
        <v>15</v>
      </c>
      <c r="F67" s="1">
        <v>350000</v>
      </c>
      <c r="G67" s="1" t="s">
        <v>323</v>
      </c>
      <c r="H67" s="1" t="s">
        <v>324</v>
      </c>
    </row>
    <row r="68" spans="1:8" x14ac:dyDescent="0.25">
      <c r="A68" s="1" t="s">
        <v>325</v>
      </c>
      <c r="B68" s="1" t="s">
        <v>114</v>
      </c>
      <c r="C68" s="1" t="s">
        <v>105</v>
      </c>
      <c r="D68" s="1" t="s">
        <v>326</v>
      </c>
      <c r="E68" s="1">
        <v>16</v>
      </c>
      <c r="F68" s="1">
        <v>150000</v>
      </c>
      <c r="G68" s="1" t="s">
        <v>327</v>
      </c>
      <c r="H68" s="1" t="s">
        <v>313</v>
      </c>
    </row>
    <row r="69" spans="1:8" x14ac:dyDescent="0.25">
      <c r="A69" s="1" t="s">
        <v>328</v>
      </c>
      <c r="B69" s="1" t="s">
        <v>199</v>
      </c>
      <c r="C69" s="1" t="s">
        <v>329</v>
      </c>
      <c r="D69" s="1" t="s">
        <v>330</v>
      </c>
      <c r="E69" s="1">
        <v>8</v>
      </c>
      <c r="F69" s="1">
        <v>175000</v>
      </c>
      <c r="G69" s="1" t="s">
        <v>331</v>
      </c>
      <c r="H69" s="1" t="s">
        <v>91</v>
      </c>
    </row>
    <row r="70" spans="1:8" x14ac:dyDescent="0.25">
      <c r="A70" s="1" t="s">
        <v>332</v>
      </c>
      <c r="B70" s="1" t="s">
        <v>243</v>
      </c>
      <c r="C70" s="1" t="s">
        <v>333</v>
      </c>
      <c r="D70" s="1" t="s">
        <v>334</v>
      </c>
      <c r="E70" s="1">
        <v>2</v>
      </c>
      <c r="F70" s="1">
        <v>85000</v>
      </c>
      <c r="G70" s="1" t="s">
        <v>335</v>
      </c>
      <c r="H70" s="1" t="s">
        <v>336</v>
      </c>
    </row>
    <row r="71" spans="1:8" x14ac:dyDescent="0.25">
      <c r="A71" s="1" t="s">
        <v>337</v>
      </c>
      <c r="B71" s="1" t="s">
        <v>133</v>
      </c>
      <c r="C71" s="1" t="s">
        <v>338</v>
      </c>
      <c r="D71" s="1" t="s">
        <v>339</v>
      </c>
      <c r="E71" s="1">
        <v>13</v>
      </c>
      <c r="F71" s="1">
        <v>250000</v>
      </c>
      <c r="G71" s="1" t="s">
        <v>340</v>
      </c>
      <c r="H71" s="1" t="s">
        <v>341</v>
      </c>
    </row>
    <row r="72" spans="1:8" x14ac:dyDescent="0.25">
      <c r="A72" s="1" t="s">
        <v>342</v>
      </c>
      <c r="B72" s="1" t="s">
        <v>169</v>
      </c>
      <c r="C72" s="1" t="s">
        <v>156</v>
      </c>
      <c r="D72" s="1" t="s">
        <v>49</v>
      </c>
      <c r="E72" s="1">
        <v>11</v>
      </c>
      <c r="F72" s="1">
        <v>65000</v>
      </c>
      <c r="G72" s="1" t="s">
        <v>343</v>
      </c>
      <c r="H72" s="1" t="s">
        <v>344</v>
      </c>
    </row>
    <row r="73" spans="1:8" x14ac:dyDescent="0.25">
      <c r="A73" s="1" t="s">
        <v>168</v>
      </c>
      <c r="B73" s="1" t="s">
        <v>345</v>
      </c>
      <c r="C73" s="1" t="s">
        <v>346</v>
      </c>
      <c r="D73" s="1" t="s">
        <v>347</v>
      </c>
      <c r="E73" s="1">
        <v>17</v>
      </c>
      <c r="F73" s="1">
        <v>3500</v>
      </c>
      <c r="G73" s="1" t="s">
        <v>348</v>
      </c>
      <c r="H73" s="1" t="s">
        <v>349</v>
      </c>
    </row>
    <row r="74" spans="1:8" x14ac:dyDescent="0.25">
      <c r="A74" s="1" t="s">
        <v>350</v>
      </c>
      <c r="B74" s="1" t="s">
        <v>59</v>
      </c>
      <c r="C74" s="1" t="s">
        <v>351</v>
      </c>
      <c r="D74" s="1" t="s">
        <v>352</v>
      </c>
      <c r="E74" s="1">
        <v>18</v>
      </c>
      <c r="F74" s="1">
        <v>65000</v>
      </c>
      <c r="G74" s="1" t="s">
        <v>116</v>
      </c>
      <c r="H74" s="1" t="s">
        <v>112</v>
      </c>
    </row>
    <row r="75" spans="1:8" x14ac:dyDescent="0.25">
      <c r="A75" s="1" t="s">
        <v>353</v>
      </c>
      <c r="B75" s="1" t="s">
        <v>53</v>
      </c>
      <c r="C75" s="1" t="s">
        <v>354</v>
      </c>
      <c r="D75" s="1" t="s">
        <v>283</v>
      </c>
      <c r="E75" s="1">
        <v>13</v>
      </c>
      <c r="F75" s="1">
        <v>180000</v>
      </c>
      <c r="G75" s="1" t="s">
        <v>142</v>
      </c>
      <c r="H75" s="1" t="s">
        <v>355</v>
      </c>
    </row>
    <row r="76" spans="1:8" x14ac:dyDescent="0.25">
      <c r="A76" s="1" t="s">
        <v>356</v>
      </c>
      <c r="B76" s="1" t="s">
        <v>65</v>
      </c>
      <c r="C76" s="1" t="s">
        <v>357</v>
      </c>
      <c r="D76" s="1" t="s">
        <v>201</v>
      </c>
      <c r="E76" s="1">
        <v>10</v>
      </c>
      <c r="F76" s="1">
        <v>175000</v>
      </c>
      <c r="G76" s="1" t="s">
        <v>358</v>
      </c>
      <c r="H76" s="1" t="s">
        <v>359</v>
      </c>
    </row>
    <row r="77" spans="1:8" x14ac:dyDescent="0.25">
      <c r="A77" s="1" t="s">
        <v>360</v>
      </c>
      <c r="B77" s="1" t="s">
        <v>361</v>
      </c>
      <c r="C77" s="1" t="s">
        <v>225</v>
      </c>
      <c r="D77" s="1" t="s">
        <v>362</v>
      </c>
      <c r="E77" s="1">
        <v>5</v>
      </c>
      <c r="F77" s="1">
        <v>85000</v>
      </c>
      <c r="G77" s="1" t="s">
        <v>363</v>
      </c>
      <c r="H77" s="1" t="s">
        <v>364</v>
      </c>
    </row>
    <row r="78" spans="1:8" x14ac:dyDescent="0.25">
      <c r="A78" s="1" t="s">
        <v>365</v>
      </c>
      <c r="B78" s="1" t="s">
        <v>366</v>
      </c>
      <c r="C78" s="1" t="s">
        <v>367</v>
      </c>
      <c r="D78" s="1" t="s">
        <v>368</v>
      </c>
      <c r="E78" s="1">
        <v>17</v>
      </c>
      <c r="F78" s="1">
        <v>350000</v>
      </c>
      <c r="G78" s="1" t="s">
        <v>196</v>
      </c>
      <c r="H78" s="1" t="s">
        <v>369</v>
      </c>
    </row>
    <row r="79" spans="1:8" x14ac:dyDescent="0.25">
      <c r="A79" s="1" t="s">
        <v>370</v>
      </c>
      <c r="B79" s="1" t="s">
        <v>371</v>
      </c>
      <c r="C79" s="1" t="s">
        <v>372</v>
      </c>
      <c r="D79" s="1" t="s">
        <v>165</v>
      </c>
      <c r="E79" s="1">
        <v>13</v>
      </c>
      <c r="F79" s="1">
        <v>350000</v>
      </c>
      <c r="G79" s="1" t="s">
        <v>373</v>
      </c>
      <c r="H79" s="1" t="s">
        <v>374</v>
      </c>
    </row>
    <row r="80" spans="1:8" x14ac:dyDescent="0.25">
      <c r="A80" s="1" t="s">
        <v>375</v>
      </c>
      <c r="B80" s="1" t="s">
        <v>71</v>
      </c>
      <c r="C80" s="1" t="s">
        <v>376</v>
      </c>
      <c r="D80" s="1" t="s">
        <v>377</v>
      </c>
      <c r="E80" s="1">
        <v>8</v>
      </c>
      <c r="F80" s="1">
        <v>350000</v>
      </c>
      <c r="G80" s="1" t="s">
        <v>378</v>
      </c>
      <c r="H80" s="1" t="s">
        <v>131</v>
      </c>
    </row>
    <row r="81" spans="1:9" x14ac:dyDescent="0.25">
      <c r="A81" s="1" t="s">
        <v>379</v>
      </c>
      <c r="B81" s="1" t="s">
        <v>380</v>
      </c>
      <c r="C81" s="1" t="s">
        <v>381</v>
      </c>
      <c r="D81" s="1" t="s">
        <v>382</v>
      </c>
      <c r="E81" s="1">
        <v>13</v>
      </c>
      <c r="F81" s="1">
        <v>85000</v>
      </c>
      <c r="G81" s="1" t="s">
        <v>383</v>
      </c>
      <c r="H81" s="1" t="s">
        <v>131</v>
      </c>
    </row>
    <row r="82" spans="1:9" x14ac:dyDescent="0.25">
      <c r="A82" s="1" t="s">
        <v>384</v>
      </c>
      <c r="B82" s="1" t="s">
        <v>385</v>
      </c>
      <c r="C82" s="1" t="s">
        <v>386</v>
      </c>
      <c r="D82" s="1" t="s">
        <v>387</v>
      </c>
      <c r="E82" s="1">
        <v>17</v>
      </c>
      <c r="F82" s="1">
        <v>150000</v>
      </c>
      <c r="G82" s="1" t="s">
        <v>388</v>
      </c>
      <c r="H82" s="1" t="s">
        <v>389</v>
      </c>
    </row>
    <row r="83" spans="1:9" x14ac:dyDescent="0.25">
      <c r="A83" s="1" t="s">
        <v>390</v>
      </c>
      <c r="B83" s="1" t="s">
        <v>391</v>
      </c>
      <c r="C83" s="1" t="s">
        <v>392</v>
      </c>
      <c r="D83" s="1" t="s">
        <v>393</v>
      </c>
      <c r="E83" s="1">
        <v>19</v>
      </c>
      <c r="F83" s="1">
        <v>65000</v>
      </c>
      <c r="G83" s="1" t="s">
        <v>394</v>
      </c>
      <c r="H83" s="1" t="s">
        <v>395</v>
      </c>
    </row>
    <row r="84" spans="1:9" x14ac:dyDescent="0.25">
      <c r="A84" s="1" t="s">
        <v>396</v>
      </c>
      <c r="B84" s="1" t="s">
        <v>177</v>
      </c>
      <c r="C84" s="1" t="s">
        <v>60</v>
      </c>
      <c r="D84" s="1" t="s">
        <v>37</v>
      </c>
      <c r="E84" s="1">
        <v>1</v>
      </c>
      <c r="F84" s="1">
        <v>150000</v>
      </c>
      <c r="G84" s="1" t="s">
        <v>142</v>
      </c>
      <c r="H84" s="1" t="s">
        <v>397</v>
      </c>
    </row>
    <row r="85" spans="1:9" x14ac:dyDescent="0.25">
      <c r="A85" s="1" t="s">
        <v>398</v>
      </c>
      <c r="B85" s="1" t="s">
        <v>296</v>
      </c>
      <c r="C85" s="1" t="s">
        <v>292</v>
      </c>
      <c r="D85" s="1" t="s">
        <v>399</v>
      </c>
      <c r="E85" s="1">
        <v>13</v>
      </c>
      <c r="F85" s="1">
        <v>250000</v>
      </c>
      <c r="G85" s="1" t="s">
        <v>400</v>
      </c>
      <c r="H85" s="1" t="s">
        <v>285</v>
      </c>
    </row>
    <row r="86" spans="1:9" x14ac:dyDescent="0.25">
      <c r="A86" s="1" t="s">
        <v>401</v>
      </c>
      <c r="B86" s="1" t="s">
        <v>224</v>
      </c>
      <c r="C86" s="1" t="s">
        <v>402</v>
      </c>
      <c r="D86" s="1" t="s">
        <v>403</v>
      </c>
      <c r="E86" s="1">
        <v>18</v>
      </c>
      <c r="F86" s="1">
        <v>65000</v>
      </c>
      <c r="G86" s="1" t="s">
        <v>306</v>
      </c>
      <c r="H86" s="1" t="s">
        <v>214</v>
      </c>
    </row>
    <row r="87" spans="1:9" x14ac:dyDescent="0.25">
      <c r="A87" s="1" t="s">
        <v>404</v>
      </c>
      <c r="B87" s="1" t="s">
        <v>405</v>
      </c>
      <c r="C87" s="1" t="s">
        <v>406</v>
      </c>
      <c r="D87" s="1" t="s">
        <v>407</v>
      </c>
      <c r="E87" s="1">
        <v>20</v>
      </c>
      <c r="F87" s="1">
        <v>250000</v>
      </c>
      <c r="G87" s="1" t="s">
        <v>408</v>
      </c>
      <c r="H87" s="1" t="s">
        <v>409</v>
      </c>
      <c r="I87" s="18" t="str">
        <f>LEFT(B87,1)</f>
        <v xml:space="preserve"> </v>
      </c>
    </row>
    <row r="88" spans="1:9" x14ac:dyDescent="0.25">
      <c r="A88" s="1" t="s">
        <v>410</v>
      </c>
      <c r="B88" s="1" t="s">
        <v>99</v>
      </c>
      <c r="C88" s="1" t="s">
        <v>278</v>
      </c>
      <c r="D88" s="1" t="s">
        <v>20</v>
      </c>
      <c r="E88" s="1">
        <v>4</v>
      </c>
      <c r="F88" s="1">
        <v>180000</v>
      </c>
      <c r="G88" s="1" t="s">
        <v>411</v>
      </c>
      <c r="H88" s="1" t="s">
        <v>39</v>
      </c>
    </row>
    <row r="89" spans="1:9" x14ac:dyDescent="0.25">
      <c r="A89" s="1" t="s">
        <v>412</v>
      </c>
      <c r="B89" s="1" t="s">
        <v>391</v>
      </c>
      <c r="C89" s="1" t="s">
        <v>60</v>
      </c>
      <c r="D89" s="1" t="s">
        <v>37</v>
      </c>
      <c r="E89" s="1">
        <v>5</v>
      </c>
      <c r="F89" s="1">
        <v>150000</v>
      </c>
      <c r="G89" s="1" t="s">
        <v>348</v>
      </c>
      <c r="H89" s="1" t="s">
        <v>413</v>
      </c>
    </row>
    <row r="90" spans="1:9" x14ac:dyDescent="0.25">
      <c r="A90" s="1" t="s">
        <v>414</v>
      </c>
      <c r="B90" s="1" t="s">
        <v>59</v>
      </c>
      <c r="C90" s="1" t="s">
        <v>415</v>
      </c>
      <c r="D90" s="1" t="s">
        <v>399</v>
      </c>
      <c r="E90" s="1">
        <v>11</v>
      </c>
      <c r="F90" s="1">
        <v>2500000</v>
      </c>
      <c r="G90" s="1" t="s">
        <v>21</v>
      </c>
      <c r="H90" s="1" t="s">
        <v>416</v>
      </c>
    </row>
    <row r="91" spans="1:9" x14ac:dyDescent="0.25">
      <c r="A91" s="1" t="s">
        <v>417</v>
      </c>
      <c r="B91" s="1" t="s">
        <v>99</v>
      </c>
      <c r="C91" s="1" t="s">
        <v>418</v>
      </c>
      <c r="D91" s="1" t="s">
        <v>419</v>
      </c>
      <c r="E91" s="1">
        <v>20</v>
      </c>
      <c r="F91" s="1">
        <v>250000</v>
      </c>
      <c r="G91" s="1" t="s">
        <v>420</v>
      </c>
      <c r="H91" s="1" t="s">
        <v>421</v>
      </c>
    </row>
    <row r="92" spans="1:9" x14ac:dyDescent="0.25">
      <c r="A92" s="1" t="s">
        <v>422</v>
      </c>
      <c r="B92" s="1" t="s">
        <v>423</v>
      </c>
      <c r="C92" s="1" t="s">
        <v>424</v>
      </c>
      <c r="D92" s="1" t="s">
        <v>425</v>
      </c>
      <c r="E92" s="1">
        <v>7</v>
      </c>
      <c r="F92" s="1">
        <v>89233</v>
      </c>
      <c r="G92" s="1" t="s">
        <v>426</v>
      </c>
      <c r="H92" s="1" t="s">
        <v>427</v>
      </c>
    </row>
    <row r="93" spans="1:9" x14ac:dyDescent="0.25">
      <c r="A93" s="1" t="s">
        <v>428</v>
      </c>
      <c r="B93" s="1" t="s">
        <v>429</v>
      </c>
      <c r="C93" s="1" t="s">
        <v>430</v>
      </c>
      <c r="D93" s="1" t="s">
        <v>431</v>
      </c>
      <c r="E93" s="1">
        <v>5</v>
      </c>
      <c r="F93" s="1">
        <v>250000</v>
      </c>
      <c r="G93" s="1" t="s">
        <v>432</v>
      </c>
      <c r="H93" s="1" t="s">
        <v>433</v>
      </c>
    </row>
    <row r="94" spans="1:9" x14ac:dyDescent="0.25">
      <c r="A94" s="1" t="s">
        <v>434</v>
      </c>
      <c r="B94" s="1" t="s">
        <v>435</v>
      </c>
      <c r="C94" s="1" t="s">
        <v>436</v>
      </c>
      <c r="D94" s="1" t="s">
        <v>201</v>
      </c>
      <c r="E94" s="1">
        <v>19</v>
      </c>
      <c r="F94" s="1">
        <v>175000</v>
      </c>
      <c r="G94" s="1" t="s">
        <v>437</v>
      </c>
      <c r="H94" s="1" t="s">
        <v>438</v>
      </c>
    </row>
    <row r="95" spans="1:9" x14ac:dyDescent="0.25">
      <c r="A95" s="1" t="s">
        <v>439</v>
      </c>
      <c r="B95" s="1" t="s">
        <v>296</v>
      </c>
      <c r="C95" s="1" t="s">
        <v>161</v>
      </c>
      <c r="D95" s="1" t="s">
        <v>165</v>
      </c>
      <c r="E95" s="1">
        <v>14</v>
      </c>
      <c r="F95" s="1">
        <v>350000</v>
      </c>
      <c r="G95" s="1" t="s">
        <v>440</v>
      </c>
      <c r="H95" s="1" t="s">
        <v>441</v>
      </c>
    </row>
    <row r="96" spans="1:9" x14ac:dyDescent="0.25">
      <c r="A96" s="1" t="s">
        <v>442</v>
      </c>
      <c r="B96" s="1" t="s">
        <v>296</v>
      </c>
      <c r="C96" s="1" t="s">
        <v>443</v>
      </c>
      <c r="D96" s="1" t="s">
        <v>444</v>
      </c>
      <c r="E96" s="1">
        <v>20</v>
      </c>
      <c r="F96" s="1">
        <v>175000</v>
      </c>
      <c r="G96" s="1" t="s">
        <v>445</v>
      </c>
      <c r="H96" s="1" t="s">
        <v>446</v>
      </c>
    </row>
    <row r="97" spans="1:8" x14ac:dyDescent="0.25">
      <c r="A97" s="1" t="s">
        <v>447</v>
      </c>
      <c r="B97" s="1" t="s">
        <v>448</v>
      </c>
      <c r="C97" s="1" t="s">
        <v>381</v>
      </c>
      <c r="D97" s="1" t="s">
        <v>449</v>
      </c>
      <c r="E97" s="1">
        <v>18</v>
      </c>
      <c r="F97" s="1">
        <v>85000</v>
      </c>
      <c r="G97" s="1" t="s">
        <v>450</v>
      </c>
      <c r="H97" s="1" t="s">
        <v>451</v>
      </c>
    </row>
    <row r="98" spans="1:8" x14ac:dyDescent="0.25">
      <c r="A98" s="1" t="s">
        <v>452</v>
      </c>
      <c r="B98" s="1" t="s">
        <v>453</v>
      </c>
      <c r="C98" s="1" t="s">
        <v>454</v>
      </c>
      <c r="D98" s="1" t="s">
        <v>455</v>
      </c>
      <c r="E98" s="1">
        <v>17</v>
      </c>
      <c r="F98" s="1">
        <v>175000</v>
      </c>
      <c r="G98" s="1" t="s">
        <v>456</v>
      </c>
      <c r="H98" s="1" t="s">
        <v>457</v>
      </c>
    </row>
    <row r="99" spans="1:8" x14ac:dyDescent="0.25">
      <c r="A99" s="1" t="s">
        <v>458</v>
      </c>
      <c r="B99" s="1" t="s">
        <v>8</v>
      </c>
      <c r="C99" s="1" t="s">
        <v>220</v>
      </c>
      <c r="D99" s="1" t="s">
        <v>399</v>
      </c>
      <c r="E99" s="1">
        <v>20</v>
      </c>
      <c r="F99" s="1">
        <v>250000</v>
      </c>
      <c r="G99" s="1" t="s">
        <v>319</v>
      </c>
      <c r="H99" s="1" t="s">
        <v>17</v>
      </c>
    </row>
    <row r="100" spans="1:8" x14ac:dyDescent="0.25">
      <c r="A100" s="1" t="s">
        <v>459</v>
      </c>
      <c r="B100" s="1" t="s">
        <v>216</v>
      </c>
      <c r="C100" s="1" t="s">
        <v>304</v>
      </c>
      <c r="D100" s="1" t="s">
        <v>165</v>
      </c>
      <c r="E100" s="1">
        <v>20</v>
      </c>
      <c r="F100" s="1">
        <v>350000</v>
      </c>
      <c r="G100" s="1" t="s">
        <v>460</v>
      </c>
      <c r="H100" s="1" t="s">
        <v>461</v>
      </c>
    </row>
    <row r="101" spans="1:8" x14ac:dyDescent="0.25">
      <c r="A101" s="1" t="s">
        <v>462</v>
      </c>
      <c r="B101" s="1" t="s">
        <v>463</v>
      </c>
      <c r="C101" s="1" t="s">
        <v>464</v>
      </c>
      <c r="D101" s="1" t="s">
        <v>465</v>
      </c>
      <c r="E101" s="1">
        <v>18</v>
      </c>
      <c r="F101" s="1">
        <v>150000</v>
      </c>
      <c r="G101" s="1" t="s">
        <v>466</v>
      </c>
      <c r="H101" s="1" t="s">
        <v>467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11911-2179-49DE-BED1-AAAD1993F9B7}">
  <sheetPr>
    <tabColor rgb="FF0070C0"/>
  </sheetPr>
  <dimension ref="A1:P105"/>
  <sheetViews>
    <sheetView workbookViewId="0">
      <selection activeCell="N14" sqref="N14"/>
    </sheetView>
  </sheetViews>
  <sheetFormatPr defaultRowHeight="15" x14ac:dyDescent="0.25"/>
  <cols>
    <col min="1" max="1" width="11" customWidth="1"/>
    <col min="2" max="2" width="9.85546875" customWidth="1"/>
    <col min="3" max="3" width="8.140625" customWidth="1"/>
    <col min="4" max="4" width="7.85546875" customWidth="1"/>
    <col min="5" max="5" width="12" customWidth="1"/>
    <col min="6" max="6" width="14.140625" customWidth="1"/>
    <col min="7" max="7" width="15.28515625" customWidth="1"/>
    <col min="8" max="8" width="14.5703125" customWidth="1"/>
    <col min="9" max="9" width="11" customWidth="1"/>
    <col min="10" max="10" width="13.7109375" style="15" customWidth="1"/>
    <col min="11" max="11" width="15.28515625" customWidth="1"/>
    <col min="12" max="12" width="15.85546875" customWidth="1"/>
    <col min="13" max="13" width="18.7109375" customWidth="1"/>
    <col min="15" max="16" width="10.42578125" bestFit="1" customWidth="1"/>
  </cols>
  <sheetData>
    <row r="1" spans="1:16" x14ac:dyDescent="0.25">
      <c r="A1" s="7" t="s">
        <v>506</v>
      </c>
      <c r="B1" s="7" t="s">
        <v>508</v>
      </c>
      <c r="C1" s="7" t="s">
        <v>507</v>
      </c>
      <c r="D1" s="7" t="s">
        <v>509</v>
      </c>
      <c r="E1" s="7" t="s">
        <v>0</v>
      </c>
      <c r="F1" s="8" t="s">
        <v>1</v>
      </c>
      <c r="G1" s="8" t="s">
        <v>2</v>
      </c>
      <c r="H1" s="8" t="s">
        <v>3</v>
      </c>
      <c r="I1" s="8" t="s">
        <v>4</v>
      </c>
      <c r="J1" s="14" t="s">
        <v>5</v>
      </c>
      <c r="K1" s="8" t="s">
        <v>472</v>
      </c>
      <c r="L1" s="8" t="s">
        <v>6</v>
      </c>
      <c r="M1" s="9" t="s">
        <v>7</v>
      </c>
    </row>
    <row r="2" spans="1:16" x14ac:dyDescent="0.25">
      <c r="A2" s="20" t="str">
        <f>UPPER(SUBSTITUTE(SUBSTITUTE(SUBSTITUTE(CLEAN('Raw Data'!A2),"-","")," ",""),".",""))</f>
        <v>45821</v>
      </c>
      <c r="B2" s="20" t="str">
        <f>TEXT(SUBSTITUTE(SUBSTITUTE(SUBSTITUTE(Table1[[#This Row],[Raw Date]],"AMR","MAR"),"JNA","JAN"),"PAR","APR"),"D")</f>
        <v>13</v>
      </c>
      <c r="C2" s="20" t="str">
        <f>TEXT(SUBSTITUTE(SUBSTITUTE(SUBSTITUTE(Table1[[#This Row],[Raw Date]],"AMR","MAR"),"JNA","JAN"),"PAR","APR"),"MMM")</f>
        <v>Jun</v>
      </c>
      <c r="D2" s="30">
        <f>IF(YEAR(RIGHT(Table1[[#This Row],[Raw Date]],4))&lt;&gt;2025,2025,0)</f>
        <v>2025</v>
      </c>
      <c r="E2" s="20" t="str">
        <f t="shared" ref="E2:E33" si="0">_xlfn.CONCAT(B2&amp;"-"&amp;C2&amp;"-"&amp;D2)</f>
        <v>13-Jun-2025</v>
      </c>
      <c r="F2" s="10" t="str" cm="1">
        <f t="array" ref="F2">_xlfn.IFS(LEFT(SUBSTITUTE('Raw Data'!B2," ",""),1)="s", "South", LEFT(SUBSTITUTE('Raw Data'!B2," ",""),1)="n", "North",LEFT(SUBSTITUTE('Raw Data'!B2," ",""),1)="e","East",LEFT(SUBSTITUTE('Raw Data'!B2," ",""),1)="w","West")</f>
        <v>South</v>
      </c>
      <c r="G2" s="10" t="str">
        <f>PROPER(CLEAN(SUBSTITUTE(SUBSTITUTE(SUBSTITUTE('Raw Data'!C2," ",""),",",""),".","")))</f>
        <v>Laptopa15</v>
      </c>
      <c r="H2" s="10" t="str" cm="1">
        <f t="array" ref="H2">_xlfn.IFS(LEFT(SUBSTITUTE('Raw Data'!D2," ",""),2)="pe", "Peripherals",LEFT(SUBSTITUTE('Raw Data'!D2," ",""),2)="au", "Audio",LEFT(SUBSTITUTE('Raw Data'!D2," ",""),2)="co", "Computers", LEFT(SUBSTITUTE('Raw Data'!D2," ",""),1)="e", "Electronics",LEFT(SUBSTITUTE('Raw Data'!D2," ",""),2)="mo","Mobile",LEFT(SUBSTITUTE('Raw Data'!D2," ",""),2)="ph","Photography")</f>
        <v>Computers</v>
      </c>
      <c r="I2" s="11">
        <f>'Raw Data'!E2</f>
        <v>8</v>
      </c>
      <c r="J2" s="13">
        <f>'Raw Data'!F2</f>
        <v>2500000</v>
      </c>
      <c r="K2" s="17">
        <f>Table1[[#This Row],[Unit Price]]*Table1[[#This Row],[Units Sold]]</f>
        <v>20000000</v>
      </c>
      <c r="L2" s="10" t="str">
        <f>UPPER(TRIM(CLEAN(SUBSTITUTE(SUBSTITUTE(SUBSTITUTE('Raw Data'!G2,",",""),".","")," ",""))))</f>
        <v>PETEROBI</v>
      </c>
      <c r="M2" s="18" t="str" cm="1">
        <f t="array" ref="M2">_xlfn.IFS(LEFT(SUBSTITUTE('Raw Data'!H2," ",""),1)="M", "Musa Enterprrises",LEFT(SUBSTITUTE('Raw Data'!H2," ",""),1)="o", "Omega Wholesale",LEFT(SUBSTITUTE('Raw Data'!H2," ",""),4)="Tola", "Tola Ventures", LEFT(SUBSTITUTE('Raw Data'!H2," ",""),1)="T", "Tope &amp; Sons",LEFT(SUBSTITUTE('Raw Data'!H2," ",""),1)="z","Zainab Global",LEFT(SUBSTITUTE('Raw Data'!H2," ",""),2)="Ma","Maryam Ltd",LEFT(SUBSTITUTE('Raw Data'!H2," ",""),1)="j","Jide Superstores",LEFT(SUBSTITUTE('Raw Data'!H2," ",""),1)="f","Femi Tech",LEFT(SUBSTITUTE('Raw Data'!H2," ",""),1)="k","Kelvin Tech",LEFT(SUBSTITUTE('Raw Data'!H2," ",""),1)="A","Adewale Stores",LEFT(SUBSTITUTE('Raw Data'!H2," ",""),2)="Al","Alpha Retailers",LEFT(SUBSTITUTE('Raw Data'!H2," ",""),1)="b","Bright Solutions",LEFT(SUBSTITUTE('Raw Data'!H2," ",""),1)="c","Chika Mart",LEFT(SUBSTITUTE('Raw Data'!H2," ",""),1)="e","Emeka Traders")</f>
        <v>Bright Solutions</v>
      </c>
      <c r="O2" s="18"/>
      <c r="P2" s="19"/>
    </row>
    <row r="3" spans="1:16" x14ac:dyDescent="0.25">
      <c r="A3" s="20" t="str">
        <f>UPPER(SUBSTITUTE(SUBSTITUTE(SUBSTITUTE(CLEAN('Raw Data'!A3),"-","")," ",""),".",""))</f>
        <v>45755</v>
      </c>
      <c r="B3" s="20" t="str">
        <f>TEXT(SUBSTITUTE(SUBSTITUTE(SUBSTITUTE(Table1[[#This Row],[Raw Date]],"AMR","MAR"),"JNA","JAN"),"PAR","APR"),"D")</f>
        <v>8</v>
      </c>
      <c r="C3" s="20" t="str">
        <f>TEXT(SUBSTITUTE(SUBSTITUTE(SUBSTITUTE(Table1[[#This Row],[Raw Date]],"AMR","MAR"),"JNA","JAN"),"PAR","APR"),"MMM")</f>
        <v>Apr</v>
      </c>
      <c r="D3" s="30">
        <f>IF(YEAR(RIGHT(Table1[[#This Row],[Raw Date]],4))&lt;&gt;2025,2025,0)</f>
        <v>2025</v>
      </c>
      <c r="E3" s="20" t="str">
        <f t="shared" si="0"/>
        <v>8-Apr-2025</v>
      </c>
      <c r="F3" s="10" t="str" cm="1">
        <f t="array" ref="F3">_xlfn.IFS(LEFT(SUBSTITUTE('Raw Data'!B3," ",""),1)="s", "South", LEFT(SUBSTITUTE('Raw Data'!B3," ",""),1)="n", "North",LEFT(SUBSTITUTE('Raw Data'!B3," ",""),1)="e","East",LEFT(SUBSTITUTE('Raw Data'!B3," ",""),1)="w","West")</f>
        <v>East</v>
      </c>
      <c r="G3" s="10" t="str">
        <f>PROPER(CLEAN(SUBSTITUTE(SUBSTITUTE(SUBSTITUTE('Raw Data'!C3," ",""),",",""),".","")))</f>
        <v>Tv43Q</v>
      </c>
      <c r="H3" s="12" t="str" cm="1">
        <f t="array" ref="H3">_xlfn.IFS(LEFT(SUBSTITUTE('Raw Data'!D3," ",""),2)="pe", "Peripherals",LEFT(SUBSTITUTE('Raw Data'!D3," ",""),2)="au", "Audio",LEFT(SUBSTITUTE('Raw Data'!D3," ",""),2)="co", "Computers", LEFT(SUBSTITUTE('Raw Data'!D3," ",""),1)="e", "Electronics",LEFT(SUBSTITUTE('Raw Data'!D3," ",""),2)="mo","Mobile",LEFT(SUBSTITUTE('Raw Data'!D3," ",""),2)="ph","Photography")</f>
        <v>Electronics</v>
      </c>
      <c r="I3" s="11">
        <f>'Raw Data'!E3</f>
        <v>6</v>
      </c>
      <c r="J3" s="13">
        <f>'Raw Data'!F3</f>
        <v>350000</v>
      </c>
      <c r="K3" s="17">
        <f>Table1[[#This Row],[Unit Price]]*Table1[[#This Row],[Units Sold]]</f>
        <v>2100000</v>
      </c>
      <c r="L3" s="10" t="str">
        <f>UPPER(TRIM(CLEAN(SUBSTITUTE(SUBSTITUTE(SUBSTITUTE('Raw Data'!G3,",",""),".","")," ",""))))</f>
        <v>IFEANYIOKAFOR</v>
      </c>
      <c r="M3" s="16" t="str" cm="1">
        <f t="array" ref="M3">_xlfn.IFS(LEFT(SUBSTITUTE('Raw Data'!H3," ",""),1)="M", "Musa Enterprrises",LEFT(SUBSTITUTE('Raw Data'!H3," ",""),1)="o", "Omega Wholesale",LEFT(SUBSTITUTE('Raw Data'!H3," ",""),4)="Tola", "Tola Ventures", LEFT(SUBSTITUTE('Raw Data'!H3," ",""),1)="T", "Tope &amp; Sons",LEFT(SUBSTITUTE('Raw Data'!H3," ",""),1)="z","Zainab Global",LEFT(SUBSTITUTE('Raw Data'!H3," ",""),2)="Ma","Maryam Ltd",LEFT(SUBSTITUTE('Raw Data'!H3," ",""),1)="j","Jide Superstores",LEFT(SUBSTITUTE('Raw Data'!H3," ",""),1)="f","Femi Tech",LEFT(SUBSTITUTE('Raw Data'!H3," ",""),1)="k","Kelvin Tech",LEFT(SUBSTITUTE('Raw Data'!H3," ",""),1)="A","Adewale Stores",LEFT(SUBSTITUTE('Raw Data'!H3," ",""),2)="Al","Alpha Retailers",LEFT(SUBSTITUTE('Raw Data'!H3," ",""),1)="b","Bright Solutions",LEFT(SUBSTITUTE('Raw Data'!H3," ",""),1)="c","Chika Mart",LEFT(SUBSTITUTE('Raw Data'!H3," ",""),1)="e","Emeka Traders")</f>
        <v>Musa Enterprrises</v>
      </c>
      <c r="O3" s="18"/>
    </row>
    <row r="4" spans="1:16" x14ac:dyDescent="0.25">
      <c r="A4" s="20" t="str">
        <f>UPPER(SUBSTITUTE(SUBSTITUTE(SUBSTITUTE(CLEAN('Raw Data'!A4),"-","")," ",""),".",""))</f>
        <v>45686</v>
      </c>
      <c r="B4" s="20" t="str">
        <f>TEXT(SUBSTITUTE(SUBSTITUTE(SUBSTITUTE(Table1[[#This Row],[Raw Date]],"AMR","MAR"),"JNA","JAN"),"PAR","APR"),"D")</f>
        <v>29</v>
      </c>
      <c r="C4" s="20" t="str">
        <f>TEXT(SUBSTITUTE(SUBSTITUTE(SUBSTITUTE(Table1[[#This Row],[Raw Date]],"AMR","MAR"),"JNA","JAN"),"PAR","APR"),"MMM")</f>
        <v>Jan</v>
      </c>
      <c r="D4" s="30">
        <f>IF(YEAR(RIGHT(Table1[[#This Row],[Raw Date]],4))&lt;&gt;2025,2025,0)</f>
        <v>2025</v>
      </c>
      <c r="E4" s="20" t="str">
        <f t="shared" si="0"/>
        <v>29-Jan-2025</v>
      </c>
      <c r="F4" s="10" t="str" cm="1">
        <f t="array" ref="F4">_xlfn.IFS(LEFT(SUBSTITUTE('Raw Data'!B4," ",""),1)="s", "South", LEFT(SUBSTITUTE('Raw Data'!B4," ",""),1)="n", "North",LEFT(SUBSTITUTE('Raw Data'!B4," ",""),1)="e","East",LEFT(SUBSTITUTE('Raw Data'!B4," ",""),1)="w","West")</f>
        <v>North</v>
      </c>
      <c r="G4" s="10" t="str">
        <f>PROPER(CLEAN(SUBSTITUTE(SUBSTITUTE(SUBSTITUTE('Raw Data'!C4," ",""),",",""),".","")))</f>
        <v>Phonex12</v>
      </c>
      <c r="H4" s="12" t="str" cm="1">
        <f t="array" ref="H4">_xlfn.IFS(LEFT(SUBSTITUTE('Raw Data'!D4," ",""),2)="pe", "Peripherals",LEFT(SUBSTITUTE('Raw Data'!D4," ",""),2)="au", "Audio",LEFT(SUBSTITUTE('Raw Data'!D4," ",""),2)="co", "Computers", LEFT(SUBSTITUTE('Raw Data'!D4," ",""),1)="e", "Electronics",LEFT(SUBSTITUTE('Raw Data'!D4," ",""),2)="mo","Mobile",LEFT(SUBSTITUTE('Raw Data'!D4," ",""),2)="ph","Photography")</f>
        <v>Mobile</v>
      </c>
      <c r="I4" s="11">
        <f>'Raw Data'!E4</f>
        <v>14</v>
      </c>
      <c r="J4" s="13">
        <f>'Raw Data'!F4</f>
        <v>180000</v>
      </c>
      <c r="K4" s="17">
        <f>Table1[[#This Row],[Unit Price]]*Table1[[#This Row],[Units Sold]]</f>
        <v>2520000</v>
      </c>
      <c r="L4" s="10" t="str">
        <f>UPPER(TRIM(CLEAN(SUBSTITUTE(SUBSTITUTE(SUBSTITUTE('Raw Data'!G4,",",""),".","")," ",""))))</f>
        <v>FOLABALOGUN</v>
      </c>
      <c r="M4" s="16" t="str" cm="1">
        <f t="array" ref="M4">_xlfn.IFS(LEFT(SUBSTITUTE('Raw Data'!H4," ",""),1)="M", "Musa Enterprrises",LEFT(SUBSTITUTE('Raw Data'!H4," ",""),1)="o", "Omega Wholesale",LEFT(SUBSTITUTE('Raw Data'!H4," ",""),4)="Tola", "Tola Ventures", LEFT(SUBSTITUTE('Raw Data'!H4," ",""),1)="T", "Tope &amp; Sons",LEFT(SUBSTITUTE('Raw Data'!H4," ",""),1)="z","Zainab Global",LEFT(SUBSTITUTE('Raw Data'!H4," ",""),2)="Ma","Maryam Ltd",LEFT(SUBSTITUTE('Raw Data'!H4," ",""),1)="j","Jide Superstores",LEFT(SUBSTITUTE('Raw Data'!H4," ",""),1)="f","Femi Tech",LEFT(SUBSTITUTE('Raw Data'!H4," ",""),1)="k","Kelvin Tech",LEFT(SUBSTITUTE('Raw Data'!H4," ",""),1)="A","Adewale Stores",LEFT(SUBSTITUTE('Raw Data'!H4," ",""),2)="Al","Alpha Retailers",LEFT(SUBSTITUTE('Raw Data'!H4," ",""),1)="b","Bright Solutions",LEFT(SUBSTITUTE('Raw Data'!H4," ",""),1)="c","Chika Mart",LEFT(SUBSTITUTE('Raw Data'!H4," ",""),1)="e","Emeka Traders")</f>
        <v>Zainab Global</v>
      </c>
      <c r="O4" s="18"/>
    </row>
    <row r="5" spans="1:16" x14ac:dyDescent="0.25">
      <c r="A5" s="20" t="str">
        <f>UPPER(SUBSTITUTE(SUBSTITUTE(SUBSTITUTE(CLEAN('Raw Data'!A5),"-","")," ",""),".",""))</f>
        <v>17MAY2025</v>
      </c>
      <c r="B5" s="20" t="str">
        <f>LEFT(Table1[[#This Row],[Raw Date]],2)</f>
        <v>17</v>
      </c>
      <c r="C5" s="20" t="str">
        <f>SUBSTITUTE(SUBSTITUTE(SUBSTITUTE(MID(Table1[[#This Row],[Raw Date]],3,3),"AMR","MAR"),"JNA","JAN"),"PAR","APR")</f>
        <v>MAY</v>
      </c>
      <c r="D5" s="30">
        <f>IF(YEAR(RIGHT(Table1[[#This Row],[Raw Date]],4))&lt;&gt;2025,2025,0)</f>
        <v>2025</v>
      </c>
      <c r="E5" s="20" t="str">
        <f t="shared" si="0"/>
        <v>17-MAY-2025</v>
      </c>
      <c r="F5" s="10" t="str" cm="1">
        <f t="array" ref="F5">_xlfn.IFS(LEFT(SUBSTITUTE('Raw Data'!B5," ",""),1)="s", "South", LEFT(SUBSTITUTE('Raw Data'!B5," ",""),1)="n", "North",LEFT(SUBSTITUTE('Raw Data'!B5," ",""),1)="e","East",LEFT(SUBSTITUTE('Raw Data'!B5," ",""),1)="w","West")</f>
        <v>South</v>
      </c>
      <c r="G5" s="10" t="str">
        <f>PROPER(CLEAN(SUBSTITUTE(SUBSTITUTE(SUBSTITUTE('Raw Data'!C5," ",""),",",""),".","")))</f>
        <v>Monitorm24</v>
      </c>
      <c r="H5" s="12" t="str" cm="1">
        <f t="array" ref="H5">_xlfn.IFS(LEFT(SUBSTITUTE('Raw Data'!D5," ",""),2)="pe", "Peripherals",LEFT(SUBSTITUTE('Raw Data'!D5," ",""),2)="au", "Audio",LEFT(SUBSTITUTE('Raw Data'!D5," ",""),2)="co", "Computers", LEFT(SUBSTITUTE('Raw Data'!D5," ",""),1)="e", "Electronics",LEFT(SUBSTITUTE('Raw Data'!D5," ",""),2)="mo","Mobile",LEFT(SUBSTITUTE('Raw Data'!D5," ",""),2)="ph","Photography")</f>
        <v>Peripherals</v>
      </c>
      <c r="I5" s="11">
        <f>'Raw Data'!E5</f>
        <v>18</v>
      </c>
      <c r="J5" s="13">
        <f>'Raw Data'!F5</f>
        <v>65000</v>
      </c>
      <c r="K5" s="17">
        <f>Table1[[#This Row],[Unit Price]]*Table1[[#This Row],[Units Sold]]</f>
        <v>1170000</v>
      </c>
      <c r="L5" s="10" t="str">
        <f>UPPER(TRIM(CLEAN(SUBSTITUTE(SUBSTITUTE(SUBSTITUTE('Raw Data'!G5,",",""),".","")," ",""))))</f>
        <v>IFEANYIOKAFOR</v>
      </c>
      <c r="M5" s="16" t="str" cm="1">
        <f t="array" ref="M5">_xlfn.IFS(LEFT(SUBSTITUTE('Raw Data'!H5," ",""),1)="M", "Musa Enterprrises",LEFT(SUBSTITUTE('Raw Data'!H5," ",""),1)="o", "Omega Wholesale",LEFT(SUBSTITUTE('Raw Data'!H5," ",""),4)="Tola", "Tola Ventures", LEFT(SUBSTITUTE('Raw Data'!H5," ",""),1)="T", "Tope &amp; Sons",LEFT(SUBSTITUTE('Raw Data'!H5," ",""),1)="z","Zainab Global",LEFT(SUBSTITUTE('Raw Data'!H5," ",""),2)="Ma","Maryam Ltd",LEFT(SUBSTITUTE('Raw Data'!H5," ",""),1)="j","Jide Superstores",LEFT(SUBSTITUTE('Raw Data'!H5," ",""),1)="f","Femi Tech",LEFT(SUBSTITUTE('Raw Data'!H5," ",""),1)="k","Kelvin Tech",LEFT(SUBSTITUTE('Raw Data'!H5," ",""),1)="A","Adewale Stores",LEFT(SUBSTITUTE('Raw Data'!H5," ",""),2)="Al","Alpha Retailers",LEFT(SUBSTITUTE('Raw Data'!H5," ",""),1)="b","Bright Solutions",LEFT(SUBSTITUTE('Raw Data'!H5," ",""),1)="c","Chika Mart",LEFT(SUBSTITUTE('Raw Data'!H5," ",""),1)="e","Emeka Traders")</f>
        <v>Jide Superstores</v>
      </c>
      <c r="O5" s="18"/>
      <c r="P5" s="19"/>
    </row>
    <row r="6" spans="1:16" x14ac:dyDescent="0.25">
      <c r="A6" s="20" t="str">
        <f>UPPER(SUBSTITUTE(SUBSTITUTE(SUBSTITUTE(CLEAN('Raw Data'!A6),"-","")," ",""),".",""))</f>
        <v>28JAN2025</v>
      </c>
      <c r="B6" s="20" t="str">
        <f>LEFT(Table1[[#This Row],[Raw Date]],2)</f>
        <v>28</v>
      </c>
      <c r="C6" s="20" t="str">
        <f>SUBSTITUTE(SUBSTITUTE(SUBSTITUTE(MID(Table1[[#This Row],[Raw Date]],3,3),"AMR","MAR"),"JNA","JAN"),"PAR","APR")</f>
        <v>JAN</v>
      </c>
      <c r="D6" s="30">
        <f>IF(YEAR(RIGHT(Table1[[#This Row],[Raw Date]],4))&lt;&gt;2025,2025,0)</f>
        <v>2025</v>
      </c>
      <c r="E6" s="20" t="str">
        <f t="shared" si="0"/>
        <v>28-JAN-2025</v>
      </c>
      <c r="F6" s="10" t="str" cm="1">
        <f t="array" ref="F6">_xlfn.IFS(LEFT(SUBSTITUTE('Raw Data'!B6," ",""),1)="s", "South", LEFT(SUBSTITUTE('Raw Data'!B6," ",""),1)="n", "North",LEFT(SUBSTITUTE('Raw Data'!B6," ",""),1)="e","East",LEFT(SUBSTITUTE('Raw Data'!B6," ",""),1)="w","West")</f>
        <v>West</v>
      </c>
      <c r="G6" s="10" t="str">
        <f>PROPER(CLEAN(SUBSTITUTE(SUBSTITUTE(SUBSTITUTE('Raw Data'!C6," ",""),",",""),".","")))</f>
        <v>Phonex12</v>
      </c>
      <c r="H6" s="12" t="str" cm="1">
        <f t="array" ref="H6">_xlfn.IFS(LEFT(SUBSTITUTE('Raw Data'!D6," ",""),2)="pe", "Peripherals",LEFT(SUBSTITUTE('Raw Data'!D6," ",""),2)="au", "Audio",LEFT(SUBSTITUTE('Raw Data'!D6," ",""),2)="co", "Computers", LEFT(SUBSTITUTE('Raw Data'!D6," ",""),1)="e", "Electronics",LEFT(SUBSTITUTE('Raw Data'!D6," ",""),2)="mo","Mobile",LEFT(SUBSTITUTE('Raw Data'!D6," ",""),2)="ph","Photography")</f>
        <v>Mobile</v>
      </c>
      <c r="I6" s="11">
        <f>'Raw Data'!E6</f>
        <v>5</v>
      </c>
      <c r="J6" s="13">
        <f>'Raw Data'!F6</f>
        <v>180000</v>
      </c>
      <c r="K6" s="17">
        <f>Table1[[#This Row],[Unit Price]]*Table1[[#This Row],[Units Sold]]</f>
        <v>900000</v>
      </c>
      <c r="L6" s="10" t="str">
        <f>UPPER(TRIM(CLEAN(SUBSTITUTE(SUBSTITUTE(SUBSTITUTE('Raw Data'!G6,",",""),".","")," ",""))))</f>
        <v>PETEROBI</v>
      </c>
      <c r="M6" s="16" t="str" cm="1">
        <f t="array" ref="M6">_xlfn.IFS(LEFT(SUBSTITUTE('Raw Data'!H6," ",""),1)="M", "Musa Enterprrises",LEFT(SUBSTITUTE('Raw Data'!H6," ",""),1)="o", "Omega Wholesale",LEFT(SUBSTITUTE('Raw Data'!H6," ",""),4)="Tola", "Tola Ventures", LEFT(SUBSTITUTE('Raw Data'!H6," ",""),1)="T", "Tope &amp; Sons",LEFT(SUBSTITUTE('Raw Data'!H6," ",""),1)="z","Zainab Global",LEFT(SUBSTITUTE('Raw Data'!H6," ",""),2)="Ma","Maryam Ltd",LEFT(SUBSTITUTE('Raw Data'!H6," ",""),1)="j","Jide Superstores",LEFT(SUBSTITUTE('Raw Data'!H6," ",""),1)="f","Femi Tech",LEFT(SUBSTITUTE('Raw Data'!H6," ",""),1)="k","Kelvin Tech",LEFT(SUBSTITUTE('Raw Data'!H6," ",""),1)="A","Adewale Stores",LEFT(SUBSTITUTE('Raw Data'!H6," ",""),2)="Al","Alpha Retailers",LEFT(SUBSTITUTE('Raw Data'!H6," ",""),1)="b","Bright Solutions",LEFT(SUBSTITUTE('Raw Data'!H6," ",""),1)="c","Chika Mart",LEFT(SUBSTITUTE('Raw Data'!H6," ",""),1)="e","Emeka Traders")</f>
        <v>Chika Mart</v>
      </c>
      <c r="O6" s="18"/>
    </row>
    <row r="7" spans="1:16" x14ac:dyDescent="0.25">
      <c r="A7" s="20" t="str">
        <f>UPPER(SUBSTITUTE(SUBSTITUTE(SUBSTITUTE(CLEAN('Raw Data'!A7),"-","")," ",""),".",""))</f>
        <v>26MAY2025</v>
      </c>
      <c r="B7" s="20" t="str">
        <f>LEFT(Table1[[#This Row],[Raw Date]],2)</f>
        <v>26</v>
      </c>
      <c r="C7" s="20" t="str">
        <f>SUBSTITUTE(SUBSTITUTE(SUBSTITUTE(MID(Table1[[#This Row],[Raw Date]],3,3),"AMR","MAR"),"JNA","JAN"),"PAR","APR")</f>
        <v>MAY</v>
      </c>
      <c r="D7" s="30">
        <f>IF(YEAR(RIGHT(Table1[[#This Row],[Raw Date]],4))&lt;&gt;2025,2025,0)</f>
        <v>2025</v>
      </c>
      <c r="E7" s="20" t="str">
        <f t="shared" si="0"/>
        <v>26-MAY-2025</v>
      </c>
      <c r="F7" s="10" t="str" cm="1">
        <f t="array" ref="F7">_xlfn.IFS(LEFT(SUBSTITUTE('Raw Data'!B7," ",""),1)="s", "South", LEFT(SUBSTITUTE('Raw Data'!B7," ",""),1)="n", "North",LEFT(SUBSTITUTE('Raw Data'!B7," ",""),1)="e","East",LEFT(SUBSTITUTE('Raw Data'!B7," ",""),1)="w","West")</f>
        <v>East</v>
      </c>
      <c r="G7" s="10" t="str">
        <f>PROPER(CLEAN(SUBSTITUTE(SUBSTITUTE(SUBSTITUTE('Raw Data'!C7," ",""),",",""),".","")))</f>
        <v>Phonex12</v>
      </c>
      <c r="H7" s="12" t="str" cm="1">
        <f t="array" ref="H7">_xlfn.IFS(LEFT(SUBSTITUTE('Raw Data'!D7," ",""),2)="pe", "Peripherals",LEFT(SUBSTITUTE('Raw Data'!D7," ",""),2)="au", "Audio",LEFT(SUBSTITUTE('Raw Data'!D7," ",""),2)="co", "Computers", LEFT(SUBSTITUTE('Raw Data'!D7," ",""),1)="e", "Electronics",LEFT(SUBSTITUTE('Raw Data'!D7," ",""),2)="mo","Mobile",LEFT(SUBSTITUTE('Raw Data'!D7," ",""),2)="ph","Photography")</f>
        <v>Mobile</v>
      </c>
      <c r="I7" s="11">
        <f>'Raw Data'!E7</f>
        <v>19</v>
      </c>
      <c r="J7" s="13">
        <f>'Raw Data'!F7</f>
        <v>157427</v>
      </c>
      <c r="K7" s="17">
        <f>Table1[[#This Row],[Unit Price]]*Table1[[#This Row],[Units Sold]]</f>
        <v>2991113</v>
      </c>
      <c r="L7" s="10" t="str">
        <f>UPPER(TRIM(CLEAN(SUBSTITUTE(SUBSTITUTE(SUBSTITUTE('Raw Data'!G7,",",""),".","")," ",""))))</f>
        <v>IFEANYIOKAFOR</v>
      </c>
      <c r="M7" s="16" t="str" cm="1">
        <f t="array" ref="M7">_xlfn.IFS(LEFT(SUBSTITUTE('Raw Data'!H7," ",""),1)="M", "Musa Enterprrises",LEFT(SUBSTITUTE('Raw Data'!H7," ",""),1)="o", "Omega Wholesale",LEFT(SUBSTITUTE('Raw Data'!H7," ",""),4)="Tola", "Tola Ventures", LEFT(SUBSTITUTE('Raw Data'!H7," ",""),1)="T", "Tope &amp; Sons",LEFT(SUBSTITUTE('Raw Data'!H7," ",""),1)="z","Zainab Global",LEFT(SUBSTITUTE('Raw Data'!H7," ",""),2)="Ma","Maryam Ltd",LEFT(SUBSTITUTE('Raw Data'!H7," ",""),1)="j","Jide Superstores",LEFT(SUBSTITUTE('Raw Data'!H7," ",""),1)="f","Femi Tech",LEFT(SUBSTITUTE('Raw Data'!H7," ",""),1)="k","Kelvin Tech",LEFT(SUBSTITUTE('Raw Data'!H7," ",""),1)="A","Adewale Stores",LEFT(SUBSTITUTE('Raw Data'!H7," ",""),2)="Al","Alpha Retailers",LEFT(SUBSTITUTE('Raw Data'!H7," ",""),1)="b","Bright Solutions",LEFT(SUBSTITUTE('Raw Data'!H7," ",""),1)="c","Chika Mart",LEFT(SUBSTITUTE('Raw Data'!H7," ",""),1)="e","Emeka Traders")</f>
        <v>Musa Enterprrises</v>
      </c>
      <c r="O7" s="18"/>
    </row>
    <row r="8" spans="1:16" x14ac:dyDescent="0.25">
      <c r="A8" s="20" t="str">
        <f>UPPER(SUBSTITUTE(SUBSTITUTE(SUBSTITUTE(CLEAN('Raw Data'!A8),"-","")," ",""),".",""))</f>
        <v>06MAY2025</v>
      </c>
      <c r="B8" s="20" t="str">
        <f>LEFT(Table1[[#This Row],[Raw Date]],2)</f>
        <v>06</v>
      </c>
      <c r="C8" s="20" t="str">
        <f>SUBSTITUTE(SUBSTITUTE(SUBSTITUTE(MID(Table1[[#This Row],[Raw Date]],3,3),"AMR","MAR"),"JNA","JAN"),"PAR","APR")</f>
        <v>MAY</v>
      </c>
      <c r="D8" s="30">
        <f>IF(YEAR(RIGHT(Table1[[#This Row],[Raw Date]],4))&lt;&gt;2025,2025,0)</f>
        <v>2025</v>
      </c>
      <c r="E8" s="20" t="str">
        <f t="shared" si="0"/>
        <v>06-MAY-2025</v>
      </c>
      <c r="F8" s="10" t="str" cm="1">
        <f t="array" ref="F8">_xlfn.IFS(LEFT(SUBSTITUTE('Raw Data'!B8," ",""),1)="s", "South", LEFT(SUBSTITUTE('Raw Data'!B8," ",""),1)="n", "North",LEFT(SUBSTITUTE('Raw Data'!B8," ",""),1)="e","East",LEFT(SUBSTITUTE('Raw Data'!B8," ",""),1)="w","West")</f>
        <v>West</v>
      </c>
      <c r="G8" s="10" t="str">
        <f>PROPER(CLEAN(SUBSTITUTE(SUBSTITUTE(SUBSTITUTE('Raw Data'!C8," ",""),",",""),".","")))</f>
        <v>Tv43Q</v>
      </c>
      <c r="H8" s="12" t="str" cm="1">
        <f t="array" ref="H8">_xlfn.IFS(LEFT(SUBSTITUTE('Raw Data'!D8," ",""),2)="pe", "Peripherals",LEFT(SUBSTITUTE('Raw Data'!D8," ",""),2)="au", "Audio",LEFT(SUBSTITUTE('Raw Data'!D8," ",""),2)="co", "Computers", LEFT(SUBSTITUTE('Raw Data'!D8," ",""),1)="e", "Electronics",LEFT(SUBSTITUTE('Raw Data'!D8," ",""),2)="mo","Mobile",LEFT(SUBSTITUTE('Raw Data'!D8," ",""),2)="ph","Photography")</f>
        <v>Electronics</v>
      </c>
      <c r="I8" s="11">
        <f>'Raw Data'!E8</f>
        <v>3</v>
      </c>
      <c r="J8" s="13">
        <f>'Raw Data'!F8</f>
        <v>350000</v>
      </c>
      <c r="K8" s="17">
        <f>Table1[[#This Row],[Unit Price]]*Table1[[#This Row],[Units Sold]]</f>
        <v>1050000</v>
      </c>
      <c r="L8" s="10" t="str">
        <f>UPPER(TRIM(CLEAN(SUBSTITUTE(SUBSTITUTE(SUBSTITUTE('Raw Data'!G8,",",""),".","")," ",""))))</f>
        <v>AISHABELLO</v>
      </c>
      <c r="M8" s="16" t="str" cm="1">
        <f t="array" ref="M8">_xlfn.IFS(LEFT(SUBSTITUTE('Raw Data'!H8," ",""),1)="M", "Musa Enterprrises",LEFT(SUBSTITUTE('Raw Data'!H8," ",""),1)="o", "Omega Wholesale",LEFT(SUBSTITUTE('Raw Data'!H8," ",""),4)="Tola", "Tola Ventures", LEFT(SUBSTITUTE('Raw Data'!H8," ",""),1)="T", "Tope &amp; Sons",LEFT(SUBSTITUTE('Raw Data'!H8," ",""),1)="z","Zainab Global",LEFT(SUBSTITUTE('Raw Data'!H8," ",""),2)="Ma","Maryam Ltd",LEFT(SUBSTITUTE('Raw Data'!H8," ",""),1)="j","Jide Superstores",LEFT(SUBSTITUTE('Raw Data'!H8," ",""),1)="f","Femi Tech",LEFT(SUBSTITUTE('Raw Data'!H8," ",""),1)="k","Kelvin Tech",LEFT(SUBSTITUTE('Raw Data'!H8," ",""),1)="A","Adewale Stores",LEFT(SUBSTITUTE('Raw Data'!H8," ",""),2)="Al","Alpha Retailers",LEFT(SUBSTITUTE('Raw Data'!H8," ",""),1)="b","Bright Solutions",LEFT(SUBSTITUTE('Raw Data'!H8," ",""),1)="c","Chika Mart",LEFT(SUBSTITUTE('Raw Data'!H8," ",""),1)="e","Emeka Traders")</f>
        <v>Chika Mart</v>
      </c>
      <c r="O8" s="18"/>
    </row>
    <row r="9" spans="1:16" x14ac:dyDescent="0.25">
      <c r="A9" s="20" t="str">
        <f>UPPER(SUBSTITUTE(SUBSTITUTE(SUBSTITUTE(CLEAN('Raw Data'!A9),"-","")," ",""),".",""))</f>
        <v>10FEB2025</v>
      </c>
      <c r="B9" s="20" t="str">
        <f>LEFT(Table1[[#This Row],[Raw Date]],2)</f>
        <v>10</v>
      </c>
      <c r="C9" s="20" t="str">
        <f>SUBSTITUTE(SUBSTITUTE(SUBSTITUTE(MID(Table1[[#This Row],[Raw Date]],3,3),"AMR","MAR"),"JNA","JAN"),"PAR","APR")</f>
        <v>FEB</v>
      </c>
      <c r="D9" s="30">
        <f>IF(YEAR(RIGHT(Table1[[#This Row],[Raw Date]],4))&lt;&gt;2025,2025,0)</f>
        <v>2025</v>
      </c>
      <c r="E9" s="20" t="str">
        <f t="shared" si="0"/>
        <v>10-FEB-2025</v>
      </c>
      <c r="F9" s="10" t="str" cm="1">
        <f t="array" ref="F9">_xlfn.IFS(LEFT(SUBSTITUTE('Raw Data'!B9," ",""),1)="s", "South", LEFT(SUBSTITUTE('Raw Data'!B9," ",""),1)="n", "North",LEFT(SUBSTITUTE('Raw Data'!B9," ",""),1)="e","East",LEFT(SUBSTITUTE('Raw Data'!B9," ",""),1)="w","West")</f>
        <v>West</v>
      </c>
      <c r="G9" s="10" t="str">
        <f>PROPER(CLEAN(SUBSTITUTE(SUBSTITUTE(SUBSTITUTE('Raw Data'!C9," ",""),",",""),".","")))</f>
        <v>Monitorm24</v>
      </c>
      <c r="H9" s="12" t="str" cm="1">
        <f t="array" ref="H9">_xlfn.IFS(LEFT(SUBSTITUTE('Raw Data'!D9," ",""),2)="pe", "Peripherals",LEFT(SUBSTITUTE('Raw Data'!D9," ",""),2)="au", "Audio",LEFT(SUBSTITUTE('Raw Data'!D9," ",""),2)="co", "Computers", LEFT(SUBSTITUTE('Raw Data'!D9," ",""),1)="e", "Electronics",LEFT(SUBSTITUTE('Raw Data'!D9," ",""),2)="mo","Mobile",LEFT(SUBSTITUTE('Raw Data'!D9," ",""),2)="ph","Photography")</f>
        <v>Peripherals</v>
      </c>
      <c r="I9" s="11">
        <f>'Raw Data'!E9</f>
        <v>2</v>
      </c>
      <c r="J9" s="13">
        <f>'Raw Data'!F9</f>
        <v>65000</v>
      </c>
      <c r="K9" s="17">
        <f>Table1[[#This Row],[Unit Price]]*Table1[[#This Row],[Units Sold]]</f>
        <v>130000</v>
      </c>
      <c r="L9" s="10" t="str">
        <f>UPPER(TRIM(CLEAN(SUBSTITUTE(SUBSTITUTE(SUBSTITUTE('Raw Data'!G9,",",""),".","")," ",""))))</f>
        <v>PETEROBI</v>
      </c>
      <c r="M9" s="16" t="str" cm="1">
        <f t="array" ref="M9">_xlfn.IFS(LEFT(SUBSTITUTE('Raw Data'!H9," ",""),1)="M", "Musa Enterprrises",LEFT(SUBSTITUTE('Raw Data'!H9," ",""),1)="o", "Omega Wholesale",LEFT(SUBSTITUTE('Raw Data'!H9," ",""),4)="Tola", "Tola Ventures", LEFT(SUBSTITUTE('Raw Data'!H9," ",""),1)="T", "Tope &amp; Sons",LEFT(SUBSTITUTE('Raw Data'!H9," ",""),1)="z","Zainab Global",LEFT(SUBSTITUTE('Raw Data'!H9," ",""),2)="Ma","Maryam Ltd",LEFT(SUBSTITUTE('Raw Data'!H9," ",""),1)="j","Jide Superstores",LEFT(SUBSTITUTE('Raw Data'!H9," ",""),1)="f","Femi Tech",LEFT(SUBSTITUTE('Raw Data'!H9," ",""),1)="k","Kelvin Tech",LEFT(SUBSTITUTE('Raw Data'!H9," ",""),1)="A","Adewale Stores",LEFT(SUBSTITUTE('Raw Data'!H9," ",""),2)="Al","Alpha Retailers",LEFT(SUBSTITUTE('Raw Data'!H9," ",""),1)="b","Bright Solutions",LEFT(SUBSTITUTE('Raw Data'!H9," ",""),1)="c","Chika Mart",LEFT(SUBSTITUTE('Raw Data'!H9," ",""),1)="e","Emeka Traders")</f>
        <v>Musa Enterprrises</v>
      </c>
      <c r="O9" s="18"/>
    </row>
    <row r="10" spans="1:16" x14ac:dyDescent="0.25">
      <c r="A10" s="20" t="str">
        <f>UPPER(SUBSTITUTE(SUBSTITUTE(SUBSTITUTE(CLEAN('Raw Data'!A10),"-","")," ",""),".",""))</f>
        <v>01FEB2025</v>
      </c>
      <c r="B10" s="20" t="str">
        <f>LEFT(Table1[[#This Row],[Raw Date]],2)</f>
        <v>01</v>
      </c>
      <c r="C10" s="20" t="str">
        <f>SUBSTITUTE(SUBSTITUTE(SUBSTITUTE(MID(Table1[[#This Row],[Raw Date]],3,3),"AMR","MAR"),"JNA","JAN"),"PAR","APR")</f>
        <v>FEB</v>
      </c>
      <c r="D10" s="30">
        <f>IF(YEAR(RIGHT(Table1[[#This Row],[Raw Date]],4))&lt;&gt;2025,2025,0)</f>
        <v>2025</v>
      </c>
      <c r="E10" s="20" t="str">
        <f t="shared" si="0"/>
        <v>01-FEB-2025</v>
      </c>
      <c r="F10" s="10" t="str" cm="1">
        <f t="array" ref="F10">_xlfn.IFS(LEFT(SUBSTITUTE('Raw Data'!B10," ",""),1)="s", "South", LEFT(SUBSTITUTE('Raw Data'!B10," ",""),1)="n", "North",LEFT(SUBSTITUTE('Raw Data'!B10," ",""),1)="e","East",LEFT(SUBSTITUTE('Raw Data'!B10," ",""),1)="w","West")</f>
        <v>East</v>
      </c>
      <c r="G10" s="10" t="str">
        <f>PROPER(CLEAN(SUBSTITUTE(SUBSTITUTE(SUBSTITUTE('Raw Data'!C10," ",""),",",""),".","")))</f>
        <v>Camerac100</v>
      </c>
      <c r="H10" s="12" t="str" cm="1">
        <f t="array" ref="H10">_xlfn.IFS(LEFT(SUBSTITUTE('Raw Data'!D10," ",""),2)="pe", "Peripherals",LEFT(SUBSTITUTE('Raw Data'!D10," ",""),2)="au", "Audio",LEFT(SUBSTITUTE('Raw Data'!D10," ",""),2)="co", "Computers", LEFT(SUBSTITUTE('Raw Data'!D10," ",""),1)="e", "Electronics",LEFT(SUBSTITUTE('Raw Data'!D10," ",""),2)="mo","Mobile",LEFT(SUBSTITUTE('Raw Data'!D10," ",""),2)="ph","Photography")</f>
        <v>Photography</v>
      </c>
      <c r="I10" s="11">
        <f>'Raw Data'!E10</f>
        <v>14</v>
      </c>
      <c r="J10" s="13">
        <f>'Raw Data'!F10</f>
        <v>175000</v>
      </c>
      <c r="K10" s="17">
        <f>Table1[[#This Row],[Unit Price]]*Table1[[#This Row],[Units Sold]]</f>
        <v>2450000</v>
      </c>
      <c r="L10" s="10" t="str">
        <f>UPPER(TRIM(CLEAN(SUBSTITUTE(SUBSTITUTE(SUBSTITUTE('Raw Data'!G10,",",""),".","")," ",""))))</f>
        <v>FOLABALOGUN</v>
      </c>
      <c r="M10" s="16" t="str" cm="1">
        <f t="array" ref="M10">_xlfn.IFS(LEFT(SUBSTITUTE('Raw Data'!H10," ",""),1)="M", "Musa Enterprrises",LEFT(SUBSTITUTE('Raw Data'!H10," ",""),1)="o", "Omega Wholesale",LEFT(SUBSTITUTE('Raw Data'!H10," ",""),4)="Tola", "Tola Ventures", LEFT(SUBSTITUTE('Raw Data'!H10," ",""),1)="T", "Tope &amp; Sons",LEFT(SUBSTITUTE('Raw Data'!H10," ",""),1)="z","Zainab Global",LEFT(SUBSTITUTE('Raw Data'!H10," ",""),2)="Ma","Maryam Ltd",LEFT(SUBSTITUTE('Raw Data'!H10," ",""),1)="j","Jide Superstores",LEFT(SUBSTITUTE('Raw Data'!H10," ",""),1)="f","Femi Tech",LEFT(SUBSTITUTE('Raw Data'!H10," ",""),1)="k","Kelvin Tech",LEFT(SUBSTITUTE('Raw Data'!H10," ",""),1)="A","Adewale Stores",LEFT(SUBSTITUTE('Raw Data'!H10," ",""),2)="Al","Alpha Retailers",LEFT(SUBSTITUTE('Raw Data'!H10," ",""),1)="b","Bright Solutions",LEFT(SUBSTITUTE('Raw Data'!H10," ",""),1)="c","Chika Mart",LEFT(SUBSTITUTE('Raw Data'!H10," ",""),1)="e","Emeka Traders")</f>
        <v>Bright Solutions</v>
      </c>
      <c r="O10" s="18"/>
    </row>
    <row r="11" spans="1:16" x14ac:dyDescent="0.25">
      <c r="A11" s="20" t="str">
        <f>UPPER(SUBSTITUTE(SUBSTITUTE(SUBSTITUTE(CLEAN('Raw Data'!A11),"-","")," ",""),".",""))</f>
        <v>28JUN2025</v>
      </c>
      <c r="B11" s="20" t="str">
        <f>LEFT(Table1[[#This Row],[Raw Date]],2)</f>
        <v>28</v>
      </c>
      <c r="C11" s="20" t="str">
        <f>SUBSTITUTE(SUBSTITUTE(SUBSTITUTE(MID(Table1[[#This Row],[Raw Date]],3,3),"AMR","MAR"),"JNA","JAN"),"PAR","APR")</f>
        <v>JUN</v>
      </c>
      <c r="D11" s="30">
        <f>IF(YEAR(RIGHT(Table1[[#This Row],[Raw Date]],4))&lt;&gt;2025,2025,0)</f>
        <v>2025</v>
      </c>
      <c r="E11" s="20" t="str">
        <f t="shared" si="0"/>
        <v>28-JUN-2025</v>
      </c>
      <c r="F11" s="10" t="str" cm="1">
        <f t="array" ref="F11">_xlfn.IFS(LEFT(SUBSTITUTE('Raw Data'!B11," ",""),1)="s", "South", LEFT(SUBSTITUTE('Raw Data'!B11," ",""),1)="n", "North",LEFT(SUBSTITUTE('Raw Data'!B11," ",""),1)="e","East",LEFT(SUBSTITUTE('Raw Data'!B11," ",""),1)="w","West")</f>
        <v>West</v>
      </c>
      <c r="G11" s="10" t="str">
        <f>PROPER(CLEAN(SUBSTITUTE(SUBSTITUTE(SUBSTITUTE('Raw Data'!C11," ",""),",",""),".","")))</f>
        <v>Tablett8</v>
      </c>
      <c r="H11" s="12" t="str" cm="1">
        <f t="array" ref="H11">_xlfn.IFS(LEFT(SUBSTITUTE('Raw Data'!D11," ",""),2)="pe", "Peripherals",LEFT(SUBSTITUTE('Raw Data'!D11," ",""),2)="au", "Audio",LEFT(SUBSTITUTE('Raw Data'!D11," ",""),2)="co", "Computers", LEFT(SUBSTITUTE('Raw Data'!D11," ",""),1)="e", "Electronics",LEFT(SUBSTITUTE('Raw Data'!D11," ",""),2)="mo","Mobile",LEFT(SUBSTITUTE('Raw Data'!D11," ",""),2)="ph","Photography")</f>
        <v>Mobile</v>
      </c>
      <c r="I11" s="11">
        <f>'Raw Data'!E11</f>
        <v>4</v>
      </c>
      <c r="J11" s="13">
        <f>'Raw Data'!F11</f>
        <v>150000</v>
      </c>
      <c r="K11" s="17">
        <f>Table1[[#This Row],[Unit Price]]*Table1[[#This Row],[Units Sold]]</f>
        <v>600000</v>
      </c>
      <c r="L11" s="10" t="str">
        <f>UPPER(TRIM(CLEAN(SUBSTITUTE(SUBSTITUTE(SUBSTITUTE('Raw Data'!G11,",",""),".","")," ",""))))</f>
        <v>PETEROBI</v>
      </c>
      <c r="M11" s="16" t="str" cm="1">
        <f t="array" ref="M11">_xlfn.IFS(LEFT(SUBSTITUTE('Raw Data'!H11," ",""),1)="M", "Musa Enterprrises",LEFT(SUBSTITUTE('Raw Data'!H11," ",""),1)="o", "Omega Wholesale",LEFT(SUBSTITUTE('Raw Data'!H11," ",""),4)="Tola", "Tola Ventures", LEFT(SUBSTITUTE('Raw Data'!H11," ",""),1)="T", "Tope &amp; Sons",LEFT(SUBSTITUTE('Raw Data'!H11," ",""),1)="z","Zainab Global",LEFT(SUBSTITUTE('Raw Data'!H11," ",""),2)="Ma","Maryam Ltd",LEFT(SUBSTITUTE('Raw Data'!H11," ",""),1)="j","Jide Superstores",LEFT(SUBSTITUTE('Raw Data'!H11," ",""),1)="f","Femi Tech",LEFT(SUBSTITUTE('Raw Data'!H11," ",""),1)="k","Kelvin Tech",LEFT(SUBSTITUTE('Raw Data'!H11," ",""),1)="A","Adewale Stores",LEFT(SUBSTITUTE('Raw Data'!H11," ",""),2)="Al","Alpha Retailers",LEFT(SUBSTITUTE('Raw Data'!H11," ",""),1)="b","Bright Solutions",LEFT(SUBSTITUTE('Raw Data'!H11," ",""),1)="c","Chika Mart",LEFT(SUBSTITUTE('Raw Data'!H11," ",""),1)="e","Emeka Traders")</f>
        <v>Adewale Stores</v>
      </c>
      <c r="O11" s="18"/>
    </row>
    <row r="12" spans="1:16" x14ac:dyDescent="0.25">
      <c r="A12" s="20" t="str">
        <f>UPPER(SUBSTITUTE(SUBSTITUTE(SUBSTITUTE(CLEAN('Raw Data'!A12),"-","")," ",""),".",""))</f>
        <v>18APR2025</v>
      </c>
      <c r="B12" s="20" t="str">
        <f>LEFT(Table1[[#This Row],[Raw Date]],2)</f>
        <v>18</v>
      </c>
      <c r="C12" s="20" t="str">
        <f>SUBSTITUTE(SUBSTITUTE(SUBSTITUTE(MID(Table1[[#This Row],[Raw Date]],3,3),"AMR","MAR"),"JNA","JAN"),"PAR","APR")</f>
        <v>APR</v>
      </c>
      <c r="D12" s="30">
        <f>IF(YEAR(RIGHT(Table1[[#This Row],[Raw Date]],4))&lt;&gt;2025,2025,0)</f>
        <v>2025</v>
      </c>
      <c r="E12" s="20" t="str">
        <f t="shared" si="0"/>
        <v>18-APR-2025</v>
      </c>
      <c r="F12" s="10" t="str" cm="1">
        <f t="array" ref="F12">_xlfn.IFS(LEFT(SUBSTITUTE('Raw Data'!B12," ",""),1)="s", "South", LEFT(SUBSTITUTE('Raw Data'!B12," ",""),1)="n", "North",LEFT(SUBSTITUTE('Raw Data'!B12," ",""),1)="e","East",LEFT(SUBSTITUTE('Raw Data'!B12," ",""),1)="w","West")</f>
        <v>South</v>
      </c>
      <c r="G12" s="10" t="str">
        <f>PROPER(CLEAN(SUBSTITUTE(SUBSTITUTE(SUBSTITUTE('Raw Data'!C12," ",""),",",""),".","")))</f>
        <v>Tablett8</v>
      </c>
      <c r="H12" s="12" t="str" cm="1">
        <f t="array" ref="H12">_xlfn.IFS(LEFT(SUBSTITUTE('Raw Data'!D12," ",""),2)="pe", "Peripherals",LEFT(SUBSTITUTE('Raw Data'!D12," ",""),2)="au", "Audio",LEFT(SUBSTITUTE('Raw Data'!D12," ",""),2)="co", "Computers", LEFT(SUBSTITUTE('Raw Data'!D12," ",""),1)="e", "Electronics",LEFT(SUBSTITUTE('Raw Data'!D12," ",""),2)="mo","Mobile",LEFT(SUBSTITUTE('Raw Data'!D12," ",""),2)="ph","Photography")</f>
        <v>Mobile</v>
      </c>
      <c r="I12" s="11">
        <f>'Raw Data'!E12</f>
        <v>20</v>
      </c>
      <c r="J12" s="13">
        <f>'Raw Data'!F12</f>
        <v>150000</v>
      </c>
      <c r="K12" s="17">
        <f>Table1[[#This Row],[Unit Price]]*Table1[[#This Row],[Units Sold]]</f>
        <v>3000000</v>
      </c>
      <c r="L12" s="10" t="str">
        <f>UPPER(TRIM(CLEAN(SUBSTITUTE(SUBSTITUTE(SUBSTITUTE('Raw Data'!G12,",",""),".","")," ",""))))</f>
        <v>FOLABALOGUN</v>
      </c>
      <c r="M12" s="16" t="str" cm="1">
        <f t="array" ref="M12">_xlfn.IFS(LEFT(SUBSTITUTE('Raw Data'!H12," ",""),1)="M", "Musa Enterprrises",LEFT(SUBSTITUTE('Raw Data'!H12," ",""),1)="o", "Omega Wholesale",LEFT(SUBSTITUTE('Raw Data'!H12," ",""),4)="Tola", "Tola Ventures", LEFT(SUBSTITUTE('Raw Data'!H12," ",""),1)="T", "Tope &amp; Sons",LEFT(SUBSTITUTE('Raw Data'!H12," ",""),1)="z","Zainab Global",LEFT(SUBSTITUTE('Raw Data'!H12," ",""),2)="Ma","Maryam Ltd",LEFT(SUBSTITUTE('Raw Data'!H12," ",""),1)="j","Jide Superstores",LEFT(SUBSTITUTE('Raw Data'!H12," ",""),1)="f","Femi Tech",LEFT(SUBSTITUTE('Raw Data'!H12," ",""),1)="k","Kelvin Tech",LEFT(SUBSTITUTE('Raw Data'!H12," ",""),1)="A","Adewale Stores",LEFT(SUBSTITUTE('Raw Data'!H12," ",""),2)="Al","Alpha Retailers",LEFT(SUBSTITUTE('Raw Data'!H12," ",""),1)="b","Bright Solutions",LEFT(SUBSTITUTE('Raw Data'!H12," ",""),1)="c","Chika Mart",LEFT(SUBSTITUTE('Raw Data'!H12," ",""),1)="e","Emeka Traders")</f>
        <v>Musa Enterprrises</v>
      </c>
      <c r="O12" s="18"/>
    </row>
    <row r="13" spans="1:16" x14ac:dyDescent="0.25">
      <c r="A13" s="20" t="str">
        <f>UPPER(SUBSTITUTE(SUBSTITUTE(SUBSTITUTE(CLEAN('Raw Data'!A13),"-","")," ",""),".",""))</f>
        <v>25FEB2025</v>
      </c>
      <c r="B13" s="20" t="str">
        <f>LEFT(Table1[[#This Row],[Raw Date]],2)</f>
        <v>25</v>
      </c>
      <c r="C13" s="20" t="str">
        <f>SUBSTITUTE(SUBSTITUTE(SUBSTITUTE(MID(Table1[[#This Row],[Raw Date]],3,3),"AMR","MAR"),"JNA","JAN"),"PAR","APR")</f>
        <v>FEB</v>
      </c>
      <c r="D13" s="30">
        <f>IF(YEAR(RIGHT(Table1[[#This Row],[Raw Date]],4))&lt;&gt;2025,2025,0)</f>
        <v>2025</v>
      </c>
      <c r="E13" s="20" t="str">
        <f t="shared" si="0"/>
        <v>25-FEB-2025</v>
      </c>
      <c r="F13" s="10" t="str" cm="1">
        <f t="array" ref="F13">_xlfn.IFS(LEFT(SUBSTITUTE('Raw Data'!B13," ",""),1)="s", "South", LEFT(SUBSTITUTE('Raw Data'!B13," ",""),1)="n", "North",LEFT(SUBSTITUTE('Raw Data'!B13," ",""),1)="e","East",LEFT(SUBSTITUTE('Raw Data'!B13," ",""),1)="w","West")</f>
        <v>North</v>
      </c>
      <c r="G13" s="10" t="str">
        <f>PROPER(CLEAN(SUBSTITUTE(SUBSTITUTE(SUBSTITUTE('Raw Data'!C13," ",""),",",""),".","")))</f>
        <v>Speakers10</v>
      </c>
      <c r="H13" s="12" t="str" cm="1">
        <f t="array" ref="H13">_xlfn.IFS(LEFT(SUBSTITUTE('Raw Data'!D13," ",""),2)="pe", "Peripherals",LEFT(SUBSTITUTE('Raw Data'!D13," ",""),2)="au", "Audio",LEFT(SUBSTITUTE('Raw Data'!D13," ",""),2)="co", "Computers", LEFT(SUBSTITUTE('Raw Data'!D13," ",""),1)="e", "Electronics",LEFT(SUBSTITUTE('Raw Data'!D13," ",""),2)="mo","Mobile",LEFT(SUBSTITUTE('Raw Data'!D13," ",""),2)="ph","Photography")</f>
        <v>Audio</v>
      </c>
      <c r="I13" s="11">
        <f>'Raw Data'!E13</f>
        <v>6</v>
      </c>
      <c r="J13" s="13">
        <f>'Raw Data'!F13</f>
        <v>85000</v>
      </c>
      <c r="K13" s="17">
        <f>Table1[[#This Row],[Unit Price]]*Table1[[#This Row],[Units Sold]]</f>
        <v>510000</v>
      </c>
      <c r="L13" s="10" t="str">
        <f>UPPER(TRIM(CLEAN(SUBSTITUTE(SUBSTITUTE(SUBSTITUTE('Raw Data'!G13,",",""),".","")," ",""))))</f>
        <v>AISHABELLO</v>
      </c>
      <c r="M13" s="16" t="str" cm="1">
        <f t="array" ref="M13">_xlfn.IFS(LEFT(SUBSTITUTE('Raw Data'!H13," ",""),1)="M", "Musa Enterprrises",LEFT(SUBSTITUTE('Raw Data'!H13," ",""),1)="o", "Omega Wholesale",LEFT(SUBSTITUTE('Raw Data'!H13," ",""),4)="Tola", "Tola Ventures", LEFT(SUBSTITUTE('Raw Data'!H13," ",""),1)="T", "Tope &amp; Sons",LEFT(SUBSTITUTE('Raw Data'!H13," ",""),1)="z","Zainab Global",LEFT(SUBSTITUTE('Raw Data'!H13," ",""),2)="Ma","Maryam Ltd",LEFT(SUBSTITUTE('Raw Data'!H13," ",""),1)="j","Jide Superstores",LEFT(SUBSTITUTE('Raw Data'!H13," ",""),1)="f","Femi Tech",LEFT(SUBSTITUTE('Raw Data'!H13," ",""),1)="k","Kelvin Tech",LEFT(SUBSTITUTE('Raw Data'!H13," ",""),1)="A","Adewale Stores",LEFT(SUBSTITUTE('Raw Data'!H13," ",""),2)="Al","Alpha Retailers",LEFT(SUBSTITUTE('Raw Data'!H13," ",""),1)="b","Bright Solutions",LEFT(SUBSTITUTE('Raw Data'!H13," ",""),1)="c","Chika Mart",LEFT(SUBSTITUTE('Raw Data'!H13," ",""),1)="e","Emeka Traders")</f>
        <v>Omega Wholesale</v>
      </c>
      <c r="O13" s="18"/>
    </row>
    <row r="14" spans="1:16" x14ac:dyDescent="0.25">
      <c r="A14" s="20" t="str">
        <f>UPPER(SUBSTITUTE(SUBSTITUTE(SUBSTITUTE(CLEAN('Raw Data'!A14),"-","")," ",""),".",""))</f>
        <v>29APR2025</v>
      </c>
      <c r="B14" s="20" t="str">
        <f>LEFT(Table1[[#This Row],[Raw Date]],2)</f>
        <v>29</v>
      </c>
      <c r="C14" s="20" t="str">
        <f>SUBSTITUTE(SUBSTITUTE(SUBSTITUTE(MID(Table1[[#This Row],[Raw Date]],3,3),"AMR","MAR"),"JNA","JAN"),"PAR","APR")</f>
        <v>APR</v>
      </c>
      <c r="D14" s="30">
        <f>IF(YEAR(RIGHT(Table1[[#This Row],[Raw Date]],4))&lt;&gt;2025,2025,0)</f>
        <v>2025</v>
      </c>
      <c r="E14" s="20" t="str">
        <f t="shared" si="0"/>
        <v>29-APR-2025</v>
      </c>
      <c r="F14" s="10" t="str" cm="1">
        <f t="array" ref="F14">_xlfn.IFS(LEFT(SUBSTITUTE('Raw Data'!B14," ",""),1)="s", "South", LEFT(SUBSTITUTE('Raw Data'!B14," ",""),1)="n", "North",LEFT(SUBSTITUTE('Raw Data'!B14," ",""),1)="e","East",LEFT(SUBSTITUTE('Raw Data'!B14," ",""),1)="w","West")</f>
        <v>West</v>
      </c>
      <c r="G14" s="10" t="str">
        <f>PROPER(CLEAN(SUBSTITUTE(SUBSTITUTE(SUBSTITUTE('Raw Data'!C14," ",""),",",""),".","")))</f>
        <v>Tablett8</v>
      </c>
      <c r="H14" s="12" t="str" cm="1">
        <f t="array" ref="H14">_xlfn.IFS(LEFT(SUBSTITUTE('Raw Data'!D14," ",""),2)="pe", "Peripherals",LEFT(SUBSTITUTE('Raw Data'!D14," ",""),2)="au", "Audio",LEFT(SUBSTITUTE('Raw Data'!D14," ",""),2)="co", "Computers", LEFT(SUBSTITUTE('Raw Data'!D14," ",""),1)="e", "Electronics",LEFT(SUBSTITUTE('Raw Data'!D14," ",""),2)="mo","Mobile",LEFT(SUBSTITUTE('Raw Data'!D14," ",""),2)="ph","Photography")</f>
        <v>Mobile</v>
      </c>
      <c r="I14" s="11">
        <f>'Raw Data'!E14</f>
        <v>1</v>
      </c>
      <c r="J14" s="13">
        <f>'Raw Data'!F14</f>
        <v>150000</v>
      </c>
      <c r="K14" s="17">
        <f>Table1[[#This Row],[Unit Price]]*Table1[[#This Row],[Units Sold]]</f>
        <v>150000</v>
      </c>
      <c r="L14" s="10" t="str">
        <f>UPPER(TRIM(CLEAN(SUBSTITUTE(SUBSTITUTE(SUBSTITUTE('Raw Data'!G14,",",""),".","")," ",""))))</f>
        <v>AISHABELLO</v>
      </c>
      <c r="M14" s="16" t="str" cm="1">
        <f t="array" ref="M14">_xlfn.IFS(LEFT(SUBSTITUTE('Raw Data'!H14," ",""),1)="M", "Musa Enterprrises",LEFT(SUBSTITUTE('Raw Data'!H14," ",""),1)="o", "Omega Wholesale",LEFT(SUBSTITUTE('Raw Data'!H14," ",""),4)="Tola", "Tola Ventures", LEFT(SUBSTITUTE('Raw Data'!H14," ",""),1)="T", "Tope &amp; Sons",LEFT(SUBSTITUTE('Raw Data'!H14," ",""),1)="z","Zainab Global",LEFT(SUBSTITUTE('Raw Data'!H14," ",""),2)="Ma","Maryam Ltd",LEFT(SUBSTITUTE('Raw Data'!H14," ",""),1)="j","Jide Superstores",LEFT(SUBSTITUTE('Raw Data'!H14," ",""),1)="f","Femi Tech",LEFT(SUBSTITUTE('Raw Data'!H14," ",""),1)="k","Kelvin Tech",LEFT(SUBSTITUTE('Raw Data'!H14," ",""),1)="A","Adewale Stores",LEFT(SUBSTITUTE('Raw Data'!H14," ",""),2)="Al","Alpha Retailers",LEFT(SUBSTITUTE('Raw Data'!H14," ",""),1)="b","Bright Solutions",LEFT(SUBSTITUTE('Raw Data'!H14," ",""),1)="c","Chika Mart",LEFT(SUBSTITUTE('Raw Data'!H14," ",""),1)="e","Emeka Traders")</f>
        <v>Kelvin Tech</v>
      </c>
      <c r="O14" s="18"/>
    </row>
    <row r="15" spans="1:16" x14ac:dyDescent="0.25">
      <c r="A15" s="20" t="str">
        <f>UPPER(SUBSTITUTE(SUBSTITUTE(SUBSTITUTE(CLEAN('Raw Data'!A15),"-","")," ",""),".",""))</f>
        <v>02FEB2025</v>
      </c>
      <c r="B15" s="20" t="str">
        <f>LEFT(Table1[[#This Row],[Raw Date]],2)</f>
        <v>02</v>
      </c>
      <c r="C15" s="20" t="str">
        <f>SUBSTITUTE(SUBSTITUTE(SUBSTITUTE(MID(Table1[[#This Row],[Raw Date]],3,3),"AMR","MAR"),"JNA","JAN"),"PAR","APR")</f>
        <v>FEB</v>
      </c>
      <c r="D15" s="30">
        <f>IF(YEAR(RIGHT(Table1[[#This Row],[Raw Date]],4))&lt;&gt;2025,2025,0)</f>
        <v>2025</v>
      </c>
      <c r="E15" s="20" t="str">
        <f t="shared" si="0"/>
        <v>02-FEB-2025</v>
      </c>
      <c r="F15" s="10" t="str" cm="1">
        <f t="array" ref="F15">_xlfn.IFS(LEFT(SUBSTITUTE('Raw Data'!B15," ",""),1)="s", "South", LEFT(SUBSTITUTE('Raw Data'!B15," ",""),1)="n", "North",LEFT(SUBSTITUTE('Raw Data'!B15," ",""),1)="e","East",LEFT(SUBSTITUTE('Raw Data'!B15," ",""),1)="w","West")</f>
        <v>East</v>
      </c>
      <c r="G15" s="10" t="str">
        <f>PROPER(CLEAN(SUBSTITUTE(SUBSTITUTE(SUBSTITUTE('Raw Data'!C15," ",""),",",""),".","")))</f>
        <v>Tv43Q</v>
      </c>
      <c r="H15" s="12" t="str" cm="1">
        <f t="array" ref="H15">_xlfn.IFS(LEFT(SUBSTITUTE('Raw Data'!D15," ",""),2)="pe", "Peripherals",LEFT(SUBSTITUTE('Raw Data'!D15," ",""),2)="au", "Audio",LEFT(SUBSTITUTE('Raw Data'!D15," ",""),2)="co", "Computers", LEFT(SUBSTITUTE('Raw Data'!D15," ",""),1)="e", "Electronics",LEFT(SUBSTITUTE('Raw Data'!D15," ",""),2)="mo","Mobile",LEFT(SUBSTITUTE('Raw Data'!D15," ",""),2)="ph","Photography")</f>
        <v>Electronics</v>
      </c>
      <c r="I15" s="11">
        <f>'Raw Data'!E15</f>
        <v>18</v>
      </c>
      <c r="J15" s="13">
        <f>'Raw Data'!F15</f>
        <v>35000</v>
      </c>
      <c r="K15" s="17">
        <f>Table1[[#This Row],[Unit Price]]*Table1[[#This Row],[Units Sold]]</f>
        <v>630000</v>
      </c>
      <c r="L15" s="10" t="str">
        <f>UPPER(TRIM(CLEAN(SUBSTITUTE(SUBSTITUTE(SUBSTITUTE('Raw Data'!G15,",",""),".","")," ",""))))</f>
        <v>CHINEDUNWOSU</v>
      </c>
      <c r="M15" s="16" t="str" cm="1">
        <f t="array" ref="M15">_xlfn.IFS(LEFT(SUBSTITUTE('Raw Data'!H15," ",""),1)="M", "Musa Enterprrises",LEFT(SUBSTITUTE('Raw Data'!H15," ",""),1)="o", "Omega Wholesale",LEFT(SUBSTITUTE('Raw Data'!H15," ",""),4)="Tola", "Tola Ventures", LEFT(SUBSTITUTE('Raw Data'!H15," ",""),1)="T", "Tope &amp; Sons",LEFT(SUBSTITUTE('Raw Data'!H15," ",""),1)="z","Zainab Global",LEFT(SUBSTITUTE('Raw Data'!H15," ",""),2)="Ma","Maryam Ltd",LEFT(SUBSTITUTE('Raw Data'!H15," ",""),1)="j","Jide Superstores",LEFT(SUBSTITUTE('Raw Data'!H15," ",""),1)="f","Femi Tech",LEFT(SUBSTITUTE('Raw Data'!H15," ",""),1)="k","Kelvin Tech",LEFT(SUBSTITUTE('Raw Data'!H15," ",""),1)="A","Adewale Stores",LEFT(SUBSTITUTE('Raw Data'!H15," ",""),2)="Al","Alpha Retailers",LEFT(SUBSTITUTE('Raw Data'!H15," ",""),1)="b","Bright Solutions",LEFT(SUBSTITUTE('Raw Data'!H15," ",""),1)="c","Chika Mart",LEFT(SUBSTITUTE('Raw Data'!H15," ",""),1)="e","Emeka Traders")</f>
        <v>Emeka Traders</v>
      </c>
      <c r="O15" s="18"/>
    </row>
    <row r="16" spans="1:16" x14ac:dyDescent="0.25">
      <c r="A16" s="20" t="str">
        <f>UPPER(SUBSTITUTE(SUBSTITUTE(SUBSTITUTE(CLEAN('Raw Data'!A16),"-","")," ",""),".",""))</f>
        <v>15APR2025</v>
      </c>
      <c r="B16" s="20" t="str">
        <f>LEFT(Table1[[#This Row],[Raw Date]],2)</f>
        <v>15</v>
      </c>
      <c r="C16" s="20" t="str">
        <f>SUBSTITUTE(SUBSTITUTE(SUBSTITUTE(MID(Table1[[#This Row],[Raw Date]],3,3),"AMR","MAR"),"JNA","JAN"),"PAR","APR")</f>
        <v>APR</v>
      </c>
      <c r="D16" s="30">
        <f>IF(YEAR(RIGHT(Table1[[#This Row],[Raw Date]],4))&lt;&gt;2025,2025,0)</f>
        <v>2025</v>
      </c>
      <c r="E16" s="20" t="str">
        <f t="shared" si="0"/>
        <v>15-APR-2025</v>
      </c>
      <c r="F16" s="10" t="str" cm="1">
        <f t="array" ref="F16">_xlfn.IFS(LEFT(SUBSTITUTE('Raw Data'!B16," ",""),1)="s", "South", LEFT(SUBSTITUTE('Raw Data'!B16," ",""),1)="n", "North",LEFT(SUBSTITUTE('Raw Data'!B16," ",""),1)="e","East",LEFT(SUBSTITUTE('Raw Data'!B16," ",""),1)="w","West")</f>
        <v>South</v>
      </c>
      <c r="G16" s="10" t="str">
        <f>PROPER(CLEAN(SUBSTITUTE(SUBSTITUTE(SUBSTITUTE('Raw Data'!C16," ",""),",",""),".","")))</f>
        <v>Speakers10</v>
      </c>
      <c r="H16" s="12" t="str" cm="1">
        <f t="array" ref="H16">_xlfn.IFS(LEFT(SUBSTITUTE('Raw Data'!D16," ",""),2)="pe", "Peripherals",LEFT(SUBSTITUTE('Raw Data'!D16," ",""),2)="au", "Audio",LEFT(SUBSTITUTE('Raw Data'!D16," ",""),2)="co", "Computers", LEFT(SUBSTITUTE('Raw Data'!D16," ",""),1)="e", "Electronics",LEFT(SUBSTITUTE('Raw Data'!D16," ",""),2)="mo","Mobile",LEFT(SUBSTITUTE('Raw Data'!D16," ",""),2)="ph","Photography")</f>
        <v>Audio</v>
      </c>
      <c r="I16" s="11">
        <f>'Raw Data'!E16</f>
        <v>2</v>
      </c>
      <c r="J16" s="13">
        <f>'Raw Data'!F16</f>
        <v>85000</v>
      </c>
      <c r="K16" s="17">
        <f>Table1[[#This Row],[Unit Price]]*Table1[[#This Row],[Units Sold]]</f>
        <v>170000</v>
      </c>
      <c r="L16" s="10" t="str">
        <f>UPPER(TRIM(CLEAN(SUBSTITUTE(SUBSTITUTE(SUBSTITUTE('Raw Data'!G16,",",""),".","")," ",""))))</f>
        <v>IFEANYIOKAFOR</v>
      </c>
      <c r="M16" s="16" t="str" cm="1">
        <f t="array" ref="M16">_xlfn.IFS(LEFT(SUBSTITUTE('Raw Data'!H16," ",""),1)="M", "Musa Enterprrises",LEFT(SUBSTITUTE('Raw Data'!H16," ",""),1)="o", "Omega Wholesale",LEFT(SUBSTITUTE('Raw Data'!H16," ",""),4)="Tola", "Tola Ventures", LEFT(SUBSTITUTE('Raw Data'!H16," ",""),1)="T", "Tope &amp; Sons",LEFT(SUBSTITUTE('Raw Data'!H16," ",""),1)="z","Zainab Global",LEFT(SUBSTITUTE('Raw Data'!H16," ",""),2)="Ma","Maryam Ltd",LEFT(SUBSTITUTE('Raw Data'!H16," ",""),1)="j","Jide Superstores",LEFT(SUBSTITUTE('Raw Data'!H16," ",""),1)="f","Femi Tech",LEFT(SUBSTITUTE('Raw Data'!H16," ",""),1)="k","Kelvin Tech",LEFT(SUBSTITUTE('Raw Data'!H16," ",""),1)="A","Adewale Stores",LEFT(SUBSTITUTE('Raw Data'!H16," ",""),2)="Al","Alpha Retailers",LEFT(SUBSTITUTE('Raw Data'!H16," ",""),1)="b","Bright Solutions",LEFT(SUBSTITUTE('Raw Data'!H16," ",""),1)="c","Chika Mart",LEFT(SUBSTITUTE('Raw Data'!H16," ",""),1)="e","Emeka Traders")</f>
        <v>Bright Solutions</v>
      </c>
    </row>
    <row r="17" spans="1:13" x14ac:dyDescent="0.25">
      <c r="A17" s="20" t="str">
        <f>UPPER(SUBSTITUTE(SUBSTITUTE(SUBSTITUTE(CLEAN('Raw Data'!A17),"-","")," ",""),".",""))</f>
        <v>12JUN2025</v>
      </c>
      <c r="B17" s="20" t="str">
        <f>LEFT(Table1[[#This Row],[Raw Date]],2)</f>
        <v>12</v>
      </c>
      <c r="C17" s="20" t="str">
        <f>SUBSTITUTE(SUBSTITUTE(SUBSTITUTE(MID(Table1[[#This Row],[Raw Date]],3,3),"AMR","MAR"),"JNA","JAN"),"PAR","APR")</f>
        <v>JUN</v>
      </c>
      <c r="D17" s="30">
        <f>IF(YEAR(RIGHT(Table1[[#This Row],[Raw Date]],4))&lt;&gt;2025,2025,0)</f>
        <v>2025</v>
      </c>
      <c r="E17" s="20" t="str">
        <f t="shared" si="0"/>
        <v>12-JUN-2025</v>
      </c>
      <c r="F17" s="10" t="str" cm="1">
        <f t="array" ref="F17">_xlfn.IFS(LEFT(SUBSTITUTE('Raw Data'!B17," ",""),1)="s", "South", LEFT(SUBSTITUTE('Raw Data'!B17," ",""),1)="n", "North",LEFT(SUBSTITUTE('Raw Data'!B17," ",""),1)="e","East",LEFT(SUBSTITUTE('Raw Data'!B17," ",""),1)="w","West")</f>
        <v>East</v>
      </c>
      <c r="G17" s="10" t="str">
        <f>PROPER(CLEAN(SUBSTITUTE(SUBSTITUTE(SUBSTITUTE('Raw Data'!C17," ",""),",",""),".","")))</f>
        <v>Monitorm24</v>
      </c>
      <c r="H17" s="12" t="str" cm="1">
        <f t="array" ref="H17">_xlfn.IFS(LEFT(SUBSTITUTE('Raw Data'!D17," ",""),2)="pe", "Peripherals",LEFT(SUBSTITUTE('Raw Data'!D17," ",""),2)="au", "Audio",LEFT(SUBSTITUTE('Raw Data'!D17," ",""),2)="co", "Computers", LEFT(SUBSTITUTE('Raw Data'!D17," ",""),1)="e", "Electronics",LEFT(SUBSTITUTE('Raw Data'!D17," ",""),2)="mo","Mobile",LEFT(SUBSTITUTE('Raw Data'!D17," ",""),2)="ph","Photography")</f>
        <v>Peripherals</v>
      </c>
      <c r="I17" s="11">
        <f>'Raw Data'!E17</f>
        <v>11</v>
      </c>
      <c r="J17" s="13">
        <f>'Raw Data'!F17</f>
        <v>62035</v>
      </c>
      <c r="K17" s="17">
        <f>Table1[[#This Row],[Unit Price]]*Table1[[#This Row],[Units Sold]]</f>
        <v>682385</v>
      </c>
      <c r="L17" s="10" t="str">
        <f>UPPER(TRIM(CLEAN(SUBSTITUTE(SUBSTITUTE(SUBSTITUTE('Raw Data'!G17,",",""),".","")," ",""))))</f>
        <v>CHINEDUNWOSU</v>
      </c>
      <c r="M17" s="16" t="str" cm="1">
        <f t="array" ref="M17">_xlfn.IFS(LEFT(SUBSTITUTE('Raw Data'!H17," ",""),1)="M", "Musa Enterprrises",LEFT(SUBSTITUTE('Raw Data'!H17," ",""),1)="o", "Omega Wholesale",LEFT(SUBSTITUTE('Raw Data'!H17," ",""),4)="Tola", "Tola Ventures", LEFT(SUBSTITUTE('Raw Data'!H17," ",""),1)="T", "Tope &amp; Sons",LEFT(SUBSTITUTE('Raw Data'!H17," ",""),1)="z","Zainab Global",LEFT(SUBSTITUTE('Raw Data'!H17," ",""),2)="Ma","Maryam Ltd",LEFT(SUBSTITUTE('Raw Data'!H17," ",""),1)="j","Jide Superstores",LEFT(SUBSTITUTE('Raw Data'!H17," ",""),1)="f","Femi Tech",LEFT(SUBSTITUTE('Raw Data'!H17," ",""),1)="k","Kelvin Tech",LEFT(SUBSTITUTE('Raw Data'!H17," ",""),1)="A","Adewale Stores",LEFT(SUBSTITUTE('Raw Data'!H17," ",""),2)="Al","Alpha Retailers",LEFT(SUBSTITUTE('Raw Data'!H17," ",""),1)="b","Bright Solutions",LEFT(SUBSTITUTE('Raw Data'!H17," ",""),1)="c","Chika Mart",LEFT(SUBSTITUTE('Raw Data'!H17," ",""),1)="e","Emeka Traders")</f>
        <v>Tola Ventures</v>
      </c>
    </row>
    <row r="18" spans="1:13" x14ac:dyDescent="0.25">
      <c r="A18" s="20" t="str">
        <f>UPPER(SUBSTITUTE(SUBSTITUTE(SUBSTITUTE(CLEAN('Raw Data'!A18),"-","")," ",""),".",""))</f>
        <v>31JAN2025</v>
      </c>
      <c r="B18" s="20" t="str">
        <f>LEFT(Table1[[#This Row],[Raw Date]],2)</f>
        <v>31</v>
      </c>
      <c r="C18" s="20" t="str">
        <f>SUBSTITUTE(SUBSTITUTE(SUBSTITUTE(MID(Table1[[#This Row],[Raw Date]],3,3),"AMR","MAR"),"JNA","JAN"),"PAR","APR")</f>
        <v>JAN</v>
      </c>
      <c r="D18" s="30">
        <f>IF(YEAR(RIGHT(Table1[[#This Row],[Raw Date]],4))&lt;&gt;2025,2025,0)</f>
        <v>2025</v>
      </c>
      <c r="E18" s="20" t="str">
        <f t="shared" si="0"/>
        <v>31-JAN-2025</v>
      </c>
      <c r="F18" s="10" t="str" cm="1">
        <f t="array" ref="F18">_xlfn.IFS(LEFT(SUBSTITUTE('Raw Data'!B18," ",""),1)="s", "South", LEFT(SUBSTITUTE('Raw Data'!B18," ",""),1)="n", "North",LEFT(SUBSTITUTE('Raw Data'!B18," ",""),1)="e","East",LEFT(SUBSTITUTE('Raw Data'!B18," ",""),1)="w","West")</f>
        <v>East</v>
      </c>
      <c r="G18" s="10" t="str">
        <f>PROPER(CLEAN(SUBSTITUTE(SUBSTITUTE(SUBSTITUTE('Raw Data'!C18," ",""),",",""),".","")))</f>
        <v>Camerac100</v>
      </c>
      <c r="H18" s="12" t="str" cm="1">
        <f t="array" ref="H18">_xlfn.IFS(LEFT(SUBSTITUTE('Raw Data'!D18," ",""),2)="pe", "Peripherals",LEFT(SUBSTITUTE('Raw Data'!D18," ",""),2)="au", "Audio",LEFT(SUBSTITUTE('Raw Data'!D18," ",""),2)="co", "Computers", LEFT(SUBSTITUTE('Raw Data'!D18," ",""),1)="e", "Electronics",LEFT(SUBSTITUTE('Raw Data'!D18," ",""),2)="mo","Mobile",LEFT(SUBSTITUTE('Raw Data'!D18," ",""),2)="ph","Photography")</f>
        <v>Photography</v>
      </c>
      <c r="I18" s="11">
        <f>'Raw Data'!E18</f>
        <v>10</v>
      </c>
      <c r="J18" s="13">
        <f>'Raw Data'!F18</f>
        <v>175000</v>
      </c>
      <c r="K18" s="17">
        <f>Table1[[#This Row],[Unit Price]]*Table1[[#This Row],[Units Sold]]</f>
        <v>1750000</v>
      </c>
      <c r="L18" s="10" t="str">
        <f>UPPER(TRIM(CLEAN(SUBSTITUTE(SUBSTITUTE(SUBSTITUTE('Raw Data'!G18,",",""),".","")," ",""))))</f>
        <v>FOLABALOGUN</v>
      </c>
      <c r="M18" s="16" t="str" cm="1">
        <f t="array" ref="M18">_xlfn.IFS(LEFT(SUBSTITUTE('Raw Data'!H18," ",""),1)="M", "Musa Enterprrises",LEFT(SUBSTITUTE('Raw Data'!H18," ",""),1)="o", "Omega Wholesale",LEFT(SUBSTITUTE('Raw Data'!H18," ",""),4)="Tola", "Tola Ventures", LEFT(SUBSTITUTE('Raw Data'!H18," ",""),1)="T", "Tope &amp; Sons",LEFT(SUBSTITUTE('Raw Data'!H18," ",""),1)="z","Zainab Global",LEFT(SUBSTITUTE('Raw Data'!H18," ",""),2)="Ma","Maryam Ltd",LEFT(SUBSTITUTE('Raw Data'!H18," ",""),1)="j","Jide Superstores",LEFT(SUBSTITUTE('Raw Data'!H18," ",""),1)="f","Femi Tech",LEFT(SUBSTITUTE('Raw Data'!H18," ",""),1)="k","Kelvin Tech",LEFT(SUBSTITUTE('Raw Data'!H18," ",""),1)="A","Adewale Stores",LEFT(SUBSTITUTE('Raw Data'!H18," ",""),2)="Al","Alpha Retailers",LEFT(SUBSTITUTE('Raw Data'!H18," ",""),1)="b","Bright Solutions",LEFT(SUBSTITUTE('Raw Data'!H18," ",""),1)="c","Chika Mart",LEFT(SUBSTITUTE('Raw Data'!H18," ",""),1)="e","Emeka Traders")</f>
        <v>Omega Wholesale</v>
      </c>
    </row>
    <row r="19" spans="1:13" x14ac:dyDescent="0.25">
      <c r="A19" s="20" t="str">
        <f>UPPER(SUBSTITUTE(SUBSTITUTE(SUBSTITUTE(CLEAN('Raw Data'!A19),"-","")," ",""),".",""))</f>
        <v>02FEB2025</v>
      </c>
      <c r="B19" s="20" t="str">
        <f>LEFT(Table1[[#This Row],[Raw Date]],2)</f>
        <v>02</v>
      </c>
      <c r="C19" s="20" t="str">
        <f>SUBSTITUTE(SUBSTITUTE(SUBSTITUTE(MID(Table1[[#This Row],[Raw Date]],3,3),"AMR","MAR"),"JNA","JAN"),"PAR","APR")</f>
        <v>FEB</v>
      </c>
      <c r="D19" s="30">
        <f>IF(YEAR(RIGHT(Table1[[#This Row],[Raw Date]],4))&lt;&gt;2025,2025,0)</f>
        <v>2025</v>
      </c>
      <c r="E19" s="20" t="str">
        <f t="shared" si="0"/>
        <v>02-FEB-2025</v>
      </c>
      <c r="F19" s="10" t="str" cm="1">
        <f t="array" ref="F19">_xlfn.IFS(LEFT(SUBSTITUTE('Raw Data'!B19," ",""),1)="s", "South", LEFT(SUBSTITUTE('Raw Data'!B19," ",""),1)="n", "North",LEFT(SUBSTITUTE('Raw Data'!B19," ",""),1)="e","East",LEFT(SUBSTITUTE('Raw Data'!B19," ",""),1)="w","West")</f>
        <v>West</v>
      </c>
      <c r="G19" s="10" t="str">
        <f>PROPER(CLEAN(SUBSTITUTE(SUBSTITUTE(SUBSTITUTE('Raw Data'!C19," ",""),",",""),".","")))</f>
        <v>Tablett8</v>
      </c>
      <c r="H19" s="12" t="str" cm="1">
        <f t="array" ref="H19">_xlfn.IFS(LEFT(SUBSTITUTE('Raw Data'!D19," ",""),2)="pe", "Peripherals",LEFT(SUBSTITUTE('Raw Data'!D19," ",""),2)="au", "Audio",LEFT(SUBSTITUTE('Raw Data'!D19," ",""),2)="co", "Computers", LEFT(SUBSTITUTE('Raw Data'!D19," ",""),1)="e", "Electronics",LEFT(SUBSTITUTE('Raw Data'!D19," ",""),2)="mo","Mobile",LEFT(SUBSTITUTE('Raw Data'!D19," ",""),2)="ph","Photography")</f>
        <v>Mobile</v>
      </c>
      <c r="I19" s="11">
        <f>'Raw Data'!E19</f>
        <v>4</v>
      </c>
      <c r="J19" s="13">
        <f>'Raw Data'!F19</f>
        <v>150000</v>
      </c>
      <c r="K19" s="17">
        <f>Table1[[#This Row],[Unit Price]]*Table1[[#This Row],[Units Sold]]</f>
        <v>600000</v>
      </c>
      <c r="L19" s="10" t="str">
        <f>UPPER(TRIM(CLEAN(SUBSTITUTE(SUBSTITUTE(SUBSTITUTE('Raw Data'!G19,",",""),".","")," ",""))))</f>
        <v>MARYJOHN</v>
      </c>
      <c r="M19" s="16" t="str" cm="1">
        <f t="array" ref="M19">_xlfn.IFS(LEFT(SUBSTITUTE('Raw Data'!H19," ",""),1)="M", "Musa Enterprrises",LEFT(SUBSTITUTE('Raw Data'!H19," ",""),1)="o", "Omega Wholesale",LEFT(SUBSTITUTE('Raw Data'!H19," ",""),4)="Tola", "Tola Ventures", LEFT(SUBSTITUTE('Raw Data'!H19," ",""),1)="T", "Tope &amp; Sons",LEFT(SUBSTITUTE('Raw Data'!H19," ",""),1)="z","Zainab Global",LEFT(SUBSTITUTE('Raw Data'!H19," ",""),2)="Ma","Maryam Ltd",LEFT(SUBSTITUTE('Raw Data'!H19," ",""),1)="j","Jide Superstores",LEFT(SUBSTITUTE('Raw Data'!H19," ",""),1)="f","Femi Tech",LEFT(SUBSTITUTE('Raw Data'!H19," ",""),1)="k","Kelvin Tech",LEFT(SUBSTITUTE('Raw Data'!H19," ",""),1)="A","Adewale Stores",LEFT(SUBSTITUTE('Raw Data'!H19," ",""),2)="Al","Alpha Retailers",LEFT(SUBSTITUTE('Raw Data'!H19," ",""),1)="b","Bright Solutions",LEFT(SUBSTITUTE('Raw Data'!H19," ",""),1)="c","Chika Mart",LEFT(SUBSTITUTE('Raw Data'!H19," ",""),1)="e","Emeka Traders")</f>
        <v>Jide Superstores</v>
      </c>
    </row>
    <row r="20" spans="1:13" x14ac:dyDescent="0.25">
      <c r="A20" s="20" t="str">
        <f>UPPER(SUBSTITUTE(SUBSTITUTE(SUBSTITUTE(CLEAN('Raw Data'!A20),"-","")," ",""),".",""))</f>
        <v>25MAY2025</v>
      </c>
      <c r="B20" s="20" t="str">
        <f>LEFT(Table1[[#This Row],[Raw Date]],2)</f>
        <v>25</v>
      </c>
      <c r="C20" s="20" t="str">
        <f>SUBSTITUTE(SUBSTITUTE(SUBSTITUTE(MID(Table1[[#This Row],[Raw Date]],3,3),"AMR","MAR"),"JNA","JAN"),"PAR","APR")</f>
        <v>MAY</v>
      </c>
      <c r="D20" s="30">
        <f>IF(YEAR(RIGHT(Table1[[#This Row],[Raw Date]],4))&lt;&gt;2025,2025,0)</f>
        <v>2025</v>
      </c>
      <c r="E20" s="20" t="str">
        <f t="shared" si="0"/>
        <v>25-MAY-2025</v>
      </c>
      <c r="F20" s="10" t="str" cm="1">
        <f t="array" ref="F20">_xlfn.IFS(LEFT(SUBSTITUTE('Raw Data'!B20," ",""),1)="s", "South", LEFT(SUBSTITUTE('Raw Data'!B20," ",""),1)="n", "North",LEFT(SUBSTITUTE('Raw Data'!B20," ",""),1)="e","East",LEFT(SUBSTITUTE('Raw Data'!B20," ",""),1)="w","West")</f>
        <v>West</v>
      </c>
      <c r="G20" s="10" t="str">
        <f>PROPER(CLEAN(SUBSTITUTE(SUBSTITUTE(SUBSTITUTE('Raw Data'!C20," ",""),",",""),".","")))</f>
        <v>Camerac100</v>
      </c>
      <c r="H20" s="12" t="str" cm="1">
        <f t="array" ref="H20">_xlfn.IFS(LEFT(SUBSTITUTE('Raw Data'!D20," ",""),2)="pe", "Peripherals",LEFT(SUBSTITUTE('Raw Data'!D20," ",""),2)="au", "Audio",LEFT(SUBSTITUTE('Raw Data'!D20," ",""),2)="co", "Computers", LEFT(SUBSTITUTE('Raw Data'!D20," ",""),1)="e", "Electronics",LEFT(SUBSTITUTE('Raw Data'!D20," ",""),2)="mo","Mobile",LEFT(SUBSTITUTE('Raw Data'!D20," ",""),2)="ph","Photography")</f>
        <v>Photography</v>
      </c>
      <c r="I20" s="11">
        <f>'Raw Data'!E20</f>
        <v>3</v>
      </c>
      <c r="J20" s="13">
        <f>'Raw Data'!F20</f>
        <v>175000</v>
      </c>
      <c r="K20" s="17">
        <f>Table1[[#This Row],[Unit Price]]*Table1[[#This Row],[Units Sold]]</f>
        <v>525000</v>
      </c>
      <c r="L20" s="10" t="str">
        <f>UPPER(TRIM(CLEAN(SUBSTITUTE(SUBSTITUTE(SUBSTITUTE('Raw Data'!G20,",",""),".","")," ",""))))</f>
        <v>GRACEAMOS</v>
      </c>
      <c r="M20" s="16" t="str" cm="1">
        <f t="array" ref="M20">_xlfn.IFS(LEFT(SUBSTITUTE('Raw Data'!H20," ",""),1)="M", "Musa Enterprrises",LEFT(SUBSTITUTE('Raw Data'!H20," ",""),1)="o", "Omega Wholesale",LEFT(SUBSTITUTE('Raw Data'!H20," ",""),4)="Tola", "Tola Ventures", LEFT(SUBSTITUTE('Raw Data'!H20," ",""),1)="T", "Tope &amp; Sons",LEFT(SUBSTITUTE('Raw Data'!H20," ",""),1)="z","Zainab Global",LEFT(SUBSTITUTE('Raw Data'!H20," ",""),2)="Ma","Maryam Ltd",LEFT(SUBSTITUTE('Raw Data'!H20," ",""),1)="j","Jide Superstores",LEFT(SUBSTITUTE('Raw Data'!H20," ",""),1)="f","Femi Tech",LEFT(SUBSTITUTE('Raw Data'!H20," ",""),1)="k","Kelvin Tech",LEFT(SUBSTITUTE('Raw Data'!H20," ",""),1)="A","Adewale Stores",LEFT(SUBSTITUTE('Raw Data'!H20," ",""),2)="Al","Alpha Retailers",LEFT(SUBSTITUTE('Raw Data'!H20," ",""),1)="b","Bright Solutions",LEFT(SUBSTITUTE('Raw Data'!H20," ",""),1)="c","Chika Mart",LEFT(SUBSTITUTE('Raw Data'!H20," ",""),1)="e","Emeka Traders")</f>
        <v>Femi Tech</v>
      </c>
    </row>
    <row r="21" spans="1:13" x14ac:dyDescent="0.25">
      <c r="A21" s="20" t="str">
        <f>UPPER(SUBSTITUTE(SUBSTITUTE(SUBSTITUTE(CLEAN('Raw Data'!A21),"-","")," ",""),".",""))</f>
        <v>26FEB2025</v>
      </c>
      <c r="B21" s="20" t="str">
        <f>LEFT(Table1[[#This Row],[Raw Date]],2)</f>
        <v>26</v>
      </c>
      <c r="C21" s="20" t="str">
        <f>SUBSTITUTE(SUBSTITUTE(SUBSTITUTE(MID(Table1[[#This Row],[Raw Date]],3,3),"AMR","MAR"),"JNA","JAN"),"PAR","APR")</f>
        <v>FEB</v>
      </c>
      <c r="D21" s="30">
        <f>IF(YEAR(RIGHT(Table1[[#This Row],[Raw Date]],4))&lt;&gt;2025,2025,0)</f>
        <v>2025</v>
      </c>
      <c r="E21" s="20" t="str">
        <f t="shared" si="0"/>
        <v>26-FEB-2025</v>
      </c>
      <c r="F21" s="10" t="str" cm="1">
        <f t="array" ref="F21">_xlfn.IFS(LEFT(SUBSTITUTE('Raw Data'!B21," ",""),1)="s", "South", LEFT(SUBSTITUTE('Raw Data'!B21," ",""),1)="n", "North",LEFT(SUBSTITUTE('Raw Data'!B21," ",""),1)="e","East",LEFT(SUBSTITUTE('Raw Data'!B21," ",""),1)="w","West")</f>
        <v>North</v>
      </c>
      <c r="G21" s="10" t="str">
        <f>PROPER(CLEAN(SUBSTITUTE(SUBSTITUTE(SUBSTITUTE('Raw Data'!C21," ",""),",",""),".","")))</f>
        <v>Camerac100</v>
      </c>
      <c r="H21" s="12" t="str" cm="1">
        <f t="array" ref="H21">_xlfn.IFS(LEFT(SUBSTITUTE('Raw Data'!D21," ",""),2)="pe", "Peripherals",LEFT(SUBSTITUTE('Raw Data'!D21," ",""),2)="au", "Audio",LEFT(SUBSTITUTE('Raw Data'!D21," ",""),2)="co", "Computers", LEFT(SUBSTITUTE('Raw Data'!D21," ",""),1)="e", "Electronics",LEFT(SUBSTITUTE('Raw Data'!D21," ",""),2)="mo","Mobile",LEFT(SUBSTITUTE('Raw Data'!D21," ",""),2)="ph","Photography")</f>
        <v>Photography</v>
      </c>
      <c r="I21" s="11">
        <f>'Raw Data'!E21</f>
        <v>5</v>
      </c>
      <c r="J21" s="13">
        <f>'Raw Data'!F21</f>
        <v>175000</v>
      </c>
      <c r="K21" s="17">
        <f>Table1[[#This Row],[Unit Price]]*Table1[[#This Row],[Units Sold]]</f>
        <v>875000</v>
      </c>
      <c r="L21" s="10" t="str">
        <f>UPPER(TRIM(CLEAN(SUBSTITUTE(SUBSTITUTE(SUBSTITUTE('Raw Data'!G21,",",""),".","")," ",""))))</f>
        <v>CHINEDUNWOSU</v>
      </c>
      <c r="M21" s="16" t="str" cm="1">
        <f t="array" ref="M21">_xlfn.IFS(LEFT(SUBSTITUTE('Raw Data'!H21," ",""),1)="M", "Musa Enterprrises",LEFT(SUBSTITUTE('Raw Data'!H21," ",""),1)="o", "Omega Wholesale",LEFT(SUBSTITUTE('Raw Data'!H21," ",""),4)="Tola", "Tola Ventures", LEFT(SUBSTITUTE('Raw Data'!H21," ",""),1)="T", "Tope &amp; Sons",LEFT(SUBSTITUTE('Raw Data'!H21," ",""),1)="z","Zainab Global",LEFT(SUBSTITUTE('Raw Data'!H21," ",""),2)="Ma","Maryam Ltd",LEFT(SUBSTITUTE('Raw Data'!H21," ",""),1)="j","Jide Superstores",LEFT(SUBSTITUTE('Raw Data'!H21," ",""),1)="f","Femi Tech",LEFT(SUBSTITUTE('Raw Data'!H21," ",""),1)="k","Kelvin Tech",LEFT(SUBSTITUTE('Raw Data'!H21," ",""),1)="A","Adewale Stores",LEFT(SUBSTITUTE('Raw Data'!H21," ",""),2)="Al","Alpha Retailers",LEFT(SUBSTITUTE('Raw Data'!H21," ",""),1)="b","Bright Solutions",LEFT(SUBSTITUTE('Raw Data'!H21," ",""),1)="c","Chika Mart",LEFT(SUBSTITUTE('Raw Data'!H21," ",""),1)="e","Emeka Traders")</f>
        <v>Femi Tech</v>
      </c>
    </row>
    <row r="22" spans="1:13" x14ac:dyDescent="0.25">
      <c r="A22" s="20" t="str">
        <f>UPPER(SUBSTITUTE(SUBSTITUTE(SUBSTITUTE(CLEAN('Raw Data'!A22),"-","")," ",""),".",""))</f>
        <v>06APR2025</v>
      </c>
      <c r="B22" s="20" t="str">
        <f>LEFT(Table1[[#This Row],[Raw Date]],2)</f>
        <v>06</v>
      </c>
      <c r="C22" s="20" t="str">
        <f>SUBSTITUTE(SUBSTITUTE(SUBSTITUTE(MID(Table1[[#This Row],[Raw Date]],3,3),"AMR","MAR"),"JNA","JAN"),"PAR","APR")</f>
        <v>APR</v>
      </c>
      <c r="D22" s="30">
        <f>IF(YEAR(RIGHT(Table1[[#This Row],[Raw Date]],4))&lt;&gt;2025,2025,0)</f>
        <v>2025</v>
      </c>
      <c r="E22" s="20" t="str">
        <f t="shared" si="0"/>
        <v>06-APR-2025</v>
      </c>
      <c r="F22" s="10" t="str" cm="1">
        <f t="array" ref="F22">_xlfn.IFS(LEFT(SUBSTITUTE('Raw Data'!B22," ",""),1)="s", "South", LEFT(SUBSTITUTE('Raw Data'!B22," ",""),1)="n", "North",LEFT(SUBSTITUTE('Raw Data'!B22," ",""),1)="e","East",LEFT(SUBSTITUTE('Raw Data'!B22," ",""),1)="w","West")</f>
        <v>East</v>
      </c>
      <c r="G22" s="10" t="str">
        <f>PROPER(CLEAN(SUBSTITUTE(SUBSTITUTE(SUBSTITUTE('Raw Data'!C22," ",""),",",""),".","")))</f>
        <v>Laptopa15</v>
      </c>
      <c r="H22" s="12" t="str" cm="1">
        <f t="array" ref="H22">_xlfn.IFS(LEFT(SUBSTITUTE('Raw Data'!D22," ",""),2)="pe", "Peripherals",LEFT(SUBSTITUTE('Raw Data'!D22," ",""),2)="au", "Audio",LEFT(SUBSTITUTE('Raw Data'!D22," ",""),2)="co", "Computers", LEFT(SUBSTITUTE('Raw Data'!D22," ",""),1)="e", "Electronics",LEFT(SUBSTITUTE('Raw Data'!D22," ",""),2)="mo","Mobile",LEFT(SUBSTITUTE('Raw Data'!D22," ",""),2)="ph","Photography")</f>
        <v>Computers</v>
      </c>
      <c r="I22" s="11">
        <f>'Raw Data'!E22</f>
        <v>20</v>
      </c>
      <c r="J22" s="13">
        <f>'Raw Data'!F22</f>
        <v>250000</v>
      </c>
      <c r="K22" s="17">
        <f>Table1[[#This Row],[Unit Price]]*Table1[[#This Row],[Units Sold]]</f>
        <v>5000000</v>
      </c>
      <c r="L22" s="10" t="str">
        <f>UPPER(TRIM(CLEAN(SUBSTITUTE(SUBSTITUTE(SUBSTITUTE('Raw Data'!G22,",",""),".","")," ",""))))</f>
        <v>GRACEAMOS</v>
      </c>
      <c r="M22" s="16" t="str" cm="1">
        <f t="array" ref="M22">_xlfn.IFS(LEFT(SUBSTITUTE('Raw Data'!H22," ",""),1)="M", "Musa Enterprrises",LEFT(SUBSTITUTE('Raw Data'!H22," ",""),1)="o", "Omega Wholesale",LEFT(SUBSTITUTE('Raw Data'!H22," ",""),4)="Tola", "Tola Ventures", LEFT(SUBSTITUTE('Raw Data'!H22," ",""),1)="T", "Tope &amp; Sons",LEFT(SUBSTITUTE('Raw Data'!H22," ",""),1)="z","Zainab Global",LEFT(SUBSTITUTE('Raw Data'!H22," ",""),2)="Ma","Maryam Ltd",LEFT(SUBSTITUTE('Raw Data'!H22," ",""),1)="j","Jide Superstores",LEFT(SUBSTITUTE('Raw Data'!H22," ",""),1)="f","Femi Tech",LEFT(SUBSTITUTE('Raw Data'!H22," ",""),1)="k","Kelvin Tech",LEFT(SUBSTITUTE('Raw Data'!H22," ",""),1)="A","Adewale Stores",LEFT(SUBSTITUTE('Raw Data'!H22," ",""),2)="Al","Alpha Retailers",LEFT(SUBSTITUTE('Raw Data'!H22," ",""),1)="b","Bright Solutions",LEFT(SUBSTITUTE('Raw Data'!H22," ",""),1)="c","Chika Mart",LEFT(SUBSTITUTE('Raw Data'!H22," ",""),1)="e","Emeka Traders")</f>
        <v>Musa Enterprrises</v>
      </c>
    </row>
    <row r="23" spans="1:13" x14ac:dyDescent="0.25">
      <c r="A23" s="20" t="str">
        <f>UPPER(SUBSTITUTE(SUBSTITUTE(SUBSTITUTE(CLEAN('Raw Data'!A23),"-","")," ",""),".",""))</f>
        <v>24FEB2025</v>
      </c>
      <c r="B23" s="20" t="str">
        <f>LEFT(Table1[[#This Row],[Raw Date]],2)</f>
        <v>24</v>
      </c>
      <c r="C23" s="20" t="str">
        <f>SUBSTITUTE(SUBSTITUTE(SUBSTITUTE(MID(Table1[[#This Row],[Raw Date]],3,3),"AMR","MAR"),"JNA","JAN"),"PAR","APR")</f>
        <v>FEB</v>
      </c>
      <c r="D23" s="30">
        <f>IF(YEAR(RIGHT(Table1[[#This Row],[Raw Date]],4))&lt;&gt;2025,2025,0)</f>
        <v>2025</v>
      </c>
      <c r="E23" s="20" t="str">
        <f t="shared" si="0"/>
        <v>24-FEB-2025</v>
      </c>
      <c r="F23" s="10" t="str" cm="1">
        <f t="array" ref="F23">_xlfn.IFS(LEFT(SUBSTITUTE('Raw Data'!B23," ",""),1)="s", "South", LEFT(SUBSTITUTE('Raw Data'!B23," ",""),1)="n", "North",LEFT(SUBSTITUTE('Raw Data'!B23," ",""),1)="e","East",LEFT(SUBSTITUTE('Raw Data'!B23," ",""),1)="w","West")</f>
        <v>East</v>
      </c>
      <c r="G23" s="10" t="str">
        <f>PROPER(CLEAN(SUBSTITUTE(SUBSTITUTE(SUBSTITUTE('Raw Data'!C23," ",""),",",""),".","")))</f>
        <v>Camerac100</v>
      </c>
      <c r="H23" s="12" t="str" cm="1">
        <f t="array" ref="H23">_xlfn.IFS(LEFT(SUBSTITUTE('Raw Data'!D23," ",""),2)="pe", "Peripherals",LEFT(SUBSTITUTE('Raw Data'!D23," ",""),2)="au", "Audio",LEFT(SUBSTITUTE('Raw Data'!D23," ",""),2)="co", "Computers", LEFT(SUBSTITUTE('Raw Data'!D23," ",""),1)="e", "Electronics",LEFT(SUBSTITUTE('Raw Data'!D23," ",""),2)="mo","Mobile",LEFT(SUBSTITUTE('Raw Data'!D23," ",""),2)="ph","Photography")</f>
        <v>Photography</v>
      </c>
      <c r="I23" s="11">
        <f>'Raw Data'!E23</f>
        <v>2</v>
      </c>
      <c r="J23" s="13">
        <f>'Raw Data'!F23</f>
        <v>175000</v>
      </c>
      <c r="K23" s="17">
        <f>Table1[[#This Row],[Unit Price]]*Table1[[#This Row],[Units Sold]]</f>
        <v>350000</v>
      </c>
      <c r="L23" s="10" t="str">
        <f>UPPER(TRIM(CLEAN(SUBSTITUTE(SUBSTITUTE(SUBSTITUTE('Raw Data'!G23,",",""),".","")," ",""))))</f>
        <v>PETEROBI</v>
      </c>
      <c r="M23" s="16" t="str" cm="1">
        <f t="array" ref="M23">_xlfn.IFS(LEFT(SUBSTITUTE('Raw Data'!H23," ",""),1)="M", "Musa Enterprrises",LEFT(SUBSTITUTE('Raw Data'!H23," ",""),1)="o", "Omega Wholesale",LEFT(SUBSTITUTE('Raw Data'!H23," ",""),4)="Tola", "Tola Ventures", LEFT(SUBSTITUTE('Raw Data'!H23," ",""),1)="T", "Tope &amp; Sons",LEFT(SUBSTITUTE('Raw Data'!H23," ",""),1)="z","Zainab Global",LEFT(SUBSTITUTE('Raw Data'!H23," ",""),2)="Ma","Maryam Ltd",LEFT(SUBSTITUTE('Raw Data'!H23," ",""),1)="j","Jide Superstores",LEFT(SUBSTITUTE('Raw Data'!H23," ",""),1)="f","Femi Tech",LEFT(SUBSTITUTE('Raw Data'!H23," ",""),1)="k","Kelvin Tech",LEFT(SUBSTITUTE('Raw Data'!H23," ",""),1)="A","Adewale Stores",LEFT(SUBSTITUTE('Raw Data'!H23," ",""),2)="Al","Alpha Retailers",LEFT(SUBSTITUTE('Raw Data'!H23," ",""),1)="b","Bright Solutions",LEFT(SUBSTITUTE('Raw Data'!H23," ",""),1)="c","Chika Mart",LEFT(SUBSTITUTE('Raw Data'!H23," ",""),1)="e","Emeka Traders")</f>
        <v>Emeka Traders</v>
      </c>
    </row>
    <row r="24" spans="1:13" x14ac:dyDescent="0.25">
      <c r="A24" s="20" t="str">
        <f>UPPER(SUBSTITUTE(SUBSTITUTE(SUBSTITUTE(CLEAN('Raw Data'!A24),"-","")," ",""),".",""))</f>
        <v>24MAR2025</v>
      </c>
      <c r="B24" s="20" t="str">
        <f>LEFT(Table1[[#This Row],[Raw Date]],2)</f>
        <v>24</v>
      </c>
      <c r="C24" s="20" t="str">
        <f>SUBSTITUTE(SUBSTITUTE(SUBSTITUTE(MID(Table1[[#This Row],[Raw Date]],3,3),"AMR","MAR"),"JNA","JAN"),"PAR","APR")</f>
        <v>MAR</v>
      </c>
      <c r="D24" s="30">
        <f>IF(YEAR(RIGHT(Table1[[#This Row],[Raw Date]],4))&lt;&gt;2025,2025,0)</f>
        <v>2025</v>
      </c>
      <c r="E24" s="20" t="str">
        <f t="shared" si="0"/>
        <v>24-MAR-2025</v>
      </c>
      <c r="F24" s="10" t="str" cm="1">
        <f t="array" ref="F24">_xlfn.IFS(LEFT(SUBSTITUTE('Raw Data'!B24," ",""),1)="s", "South", LEFT(SUBSTITUTE('Raw Data'!B24," ",""),1)="n", "North",LEFT(SUBSTITUTE('Raw Data'!B24," ",""),1)="e","East",LEFT(SUBSTITUTE('Raw Data'!B24," ",""),1)="w","West")</f>
        <v>East</v>
      </c>
      <c r="G24" s="10" t="str">
        <f>PROPER(CLEAN(SUBSTITUTE(SUBSTITUTE(SUBSTITUTE('Raw Data'!C24," ",""),",",""),".","")))</f>
        <v>Tablett8</v>
      </c>
      <c r="H24" s="12" t="str" cm="1">
        <f t="array" ref="H24">_xlfn.IFS(LEFT(SUBSTITUTE('Raw Data'!D24," ",""),2)="pe", "Peripherals",LEFT(SUBSTITUTE('Raw Data'!D24," ",""),2)="au", "Audio",LEFT(SUBSTITUTE('Raw Data'!D24," ",""),2)="co", "Computers", LEFT(SUBSTITUTE('Raw Data'!D24," ",""),1)="e", "Electronics",LEFT(SUBSTITUTE('Raw Data'!D24," ",""),2)="mo","Mobile",LEFT(SUBSTITUTE('Raw Data'!D24," ",""),2)="ph","Photography")</f>
        <v>Mobile</v>
      </c>
      <c r="I24" s="11">
        <f>'Raw Data'!E24</f>
        <v>20</v>
      </c>
      <c r="J24" s="13">
        <f>'Raw Data'!F24</f>
        <v>150000</v>
      </c>
      <c r="K24" s="17">
        <f>Table1[[#This Row],[Unit Price]]*Table1[[#This Row],[Units Sold]]</f>
        <v>3000000</v>
      </c>
      <c r="L24" s="10" t="str">
        <f>UPPER(TRIM(CLEAN(SUBSTITUTE(SUBSTITUTE(SUBSTITUTE('Raw Data'!G24,",",""),".","")," ",""))))</f>
        <v>FOLABALOGUN</v>
      </c>
      <c r="M24" s="16" t="str" cm="1">
        <f t="array" ref="M24">_xlfn.IFS(LEFT(SUBSTITUTE('Raw Data'!H24," ",""),1)="M", "Musa Enterprrises",LEFT(SUBSTITUTE('Raw Data'!H24," ",""),1)="o", "Omega Wholesale",LEFT(SUBSTITUTE('Raw Data'!H24," ",""),4)="Tola", "Tola Ventures", LEFT(SUBSTITUTE('Raw Data'!H24," ",""),1)="T", "Tope &amp; Sons",LEFT(SUBSTITUTE('Raw Data'!H24," ",""),1)="z","Zainab Global",LEFT(SUBSTITUTE('Raw Data'!H24," ",""),2)="Ma","Maryam Ltd",LEFT(SUBSTITUTE('Raw Data'!H24," ",""),1)="j","Jide Superstores",LEFT(SUBSTITUTE('Raw Data'!H24," ",""),1)="f","Femi Tech",LEFT(SUBSTITUTE('Raw Data'!H24," ",""),1)="k","Kelvin Tech",LEFT(SUBSTITUTE('Raw Data'!H24," ",""),1)="A","Adewale Stores",LEFT(SUBSTITUTE('Raw Data'!H24," ",""),2)="Al","Alpha Retailers",LEFT(SUBSTITUTE('Raw Data'!H24," ",""),1)="b","Bright Solutions",LEFT(SUBSTITUTE('Raw Data'!H24," ",""),1)="c","Chika Mart",LEFT(SUBSTITUTE('Raw Data'!H24," ",""),1)="e","Emeka Traders")</f>
        <v>Musa Enterprrises</v>
      </c>
    </row>
    <row r="25" spans="1:13" x14ac:dyDescent="0.25">
      <c r="A25" s="20" t="str">
        <f>UPPER(SUBSTITUTE(SUBSTITUTE(SUBSTITUTE(CLEAN('Raw Data'!A25),"-","")," ",""),".",""))</f>
        <v>28MAY2025</v>
      </c>
      <c r="B25" s="20" t="str">
        <f>LEFT(Table1[[#This Row],[Raw Date]],2)</f>
        <v>28</v>
      </c>
      <c r="C25" s="20" t="str">
        <f>SUBSTITUTE(SUBSTITUTE(SUBSTITUTE(MID(Table1[[#This Row],[Raw Date]],3,3),"AMR","MAR"),"JNA","JAN"),"PAR","APR")</f>
        <v>MAY</v>
      </c>
      <c r="D25" s="30">
        <f>IF(YEAR(RIGHT(Table1[[#This Row],[Raw Date]],4))&lt;&gt;2025,2025,0)</f>
        <v>2025</v>
      </c>
      <c r="E25" s="20" t="str">
        <f t="shared" si="0"/>
        <v>28-MAY-2025</v>
      </c>
      <c r="F25" s="10" t="str" cm="1">
        <f t="array" ref="F25">_xlfn.IFS(LEFT(SUBSTITUTE('Raw Data'!B25," ",""),1)="s", "South", LEFT(SUBSTITUTE('Raw Data'!B25," ",""),1)="n", "North",LEFT(SUBSTITUTE('Raw Data'!B25," ",""),1)="e","East",LEFT(SUBSTITUTE('Raw Data'!B25," ",""),1)="w","West")</f>
        <v>North</v>
      </c>
      <c r="G25" s="10" t="str">
        <f>PROPER(CLEAN(SUBSTITUTE(SUBSTITUTE(SUBSTITUTE('Raw Data'!C25," ",""),",",""),".","")))</f>
        <v>Tablett8</v>
      </c>
      <c r="H25" s="12" t="str" cm="1">
        <f t="array" ref="H25">_xlfn.IFS(LEFT(SUBSTITUTE('Raw Data'!D25," ",""),2)="pe", "Peripherals",LEFT(SUBSTITUTE('Raw Data'!D25," ",""),2)="au", "Audio",LEFT(SUBSTITUTE('Raw Data'!D25," ",""),2)="co", "Computers", LEFT(SUBSTITUTE('Raw Data'!D25," ",""),1)="e", "Electronics",LEFT(SUBSTITUTE('Raw Data'!D25," ",""),2)="mo","Mobile",LEFT(SUBSTITUTE('Raw Data'!D25," ",""),2)="ph","Photography")</f>
        <v>Mobile</v>
      </c>
      <c r="I25" s="11">
        <f>'Raw Data'!E25</f>
        <v>8</v>
      </c>
      <c r="J25" s="13">
        <f>'Raw Data'!F25</f>
        <v>150000</v>
      </c>
      <c r="K25" s="17">
        <f>Table1[[#This Row],[Unit Price]]*Table1[[#This Row],[Units Sold]]</f>
        <v>1200000</v>
      </c>
      <c r="L25" s="10" t="str">
        <f>UPPER(TRIM(CLEAN(SUBSTITUTE(SUBSTITUTE(SUBSTITUTE('Raw Data'!G25,",",""),".","")," ",""))))</f>
        <v>IFEANYIOKAFOR</v>
      </c>
      <c r="M25" s="16" t="str" cm="1">
        <f t="array" ref="M25">_xlfn.IFS(LEFT(SUBSTITUTE('Raw Data'!H25," ",""),1)="M", "Musa Enterprrises",LEFT(SUBSTITUTE('Raw Data'!H25," ",""),1)="o", "Omega Wholesale",LEFT(SUBSTITUTE('Raw Data'!H25," ",""),4)="Tola", "Tola Ventures", LEFT(SUBSTITUTE('Raw Data'!H25," ",""),1)="T", "Tope &amp; Sons",LEFT(SUBSTITUTE('Raw Data'!H25," ",""),1)="z","Zainab Global",LEFT(SUBSTITUTE('Raw Data'!H25," ",""),2)="Ma","Maryam Ltd",LEFT(SUBSTITUTE('Raw Data'!H25," ",""),1)="j","Jide Superstores",LEFT(SUBSTITUTE('Raw Data'!H25," ",""),1)="f","Femi Tech",LEFT(SUBSTITUTE('Raw Data'!H25," ",""),1)="k","Kelvin Tech",LEFT(SUBSTITUTE('Raw Data'!H25," ",""),1)="A","Adewale Stores",LEFT(SUBSTITUTE('Raw Data'!H25," ",""),2)="Al","Alpha Retailers",LEFT(SUBSTITUTE('Raw Data'!H25," ",""),1)="b","Bright Solutions",LEFT(SUBSTITUTE('Raw Data'!H25," ",""),1)="c","Chika Mart",LEFT(SUBSTITUTE('Raw Data'!H25," ",""),1)="e","Emeka Traders")</f>
        <v>Omega Wholesale</v>
      </c>
    </row>
    <row r="26" spans="1:13" x14ac:dyDescent="0.25">
      <c r="A26" s="20" t="str">
        <f>UPPER(SUBSTITUTE(SUBSTITUTE(SUBSTITUTE(CLEAN('Raw Data'!A26),"-","")," ",""),".",""))</f>
        <v>12MAY2025</v>
      </c>
      <c r="B26" s="20" t="str">
        <f>LEFT(Table1[[#This Row],[Raw Date]],2)</f>
        <v>12</v>
      </c>
      <c r="C26" s="20" t="str">
        <f>SUBSTITUTE(SUBSTITUTE(SUBSTITUTE(MID(Table1[[#This Row],[Raw Date]],3,3),"AMR","MAR"),"JNA","JAN"),"PAR","APR")</f>
        <v>MAY</v>
      </c>
      <c r="D26" s="30">
        <f>IF(YEAR(RIGHT(Table1[[#This Row],[Raw Date]],4))&lt;&gt;2025,2025,0)</f>
        <v>2025</v>
      </c>
      <c r="E26" s="20" t="str">
        <f t="shared" si="0"/>
        <v>12-MAY-2025</v>
      </c>
      <c r="F26" s="10" t="str" cm="1">
        <f t="array" ref="F26">_xlfn.IFS(LEFT(SUBSTITUTE('Raw Data'!B26," ",""),1)="s", "South", LEFT(SUBSTITUTE('Raw Data'!B26," ",""),1)="n", "North",LEFT(SUBSTITUTE('Raw Data'!B26," ",""),1)="e","East",LEFT(SUBSTITUTE('Raw Data'!B26," ",""),1)="w","West")</f>
        <v>West</v>
      </c>
      <c r="G26" s="10" t="str">
        <f>PROPER(CLEAN(SUBSTITUTE(SUBSTITUTE(SUBSTITUTE('Raw Data'!C26," ",""),",",""),".","")))</f>
        <v>Laptopa15</v>
      </c>
      <c r="H26" s="12" t="str" cm="1">
        <f t="array" ref="H26">_xlfn.IFS(LEFT(SUBSTITUTE('Raw Data'!D26," ",""),2)="pe", "Peripherals",LEFT(SUBSTITUTE('Raw Data'!D26," ",""),2)="au", "Audio",LEFT(SUBSTITUTE('Raw Data'!D26," ",""),2)="co", "Computers", LEFT(SUBSTITUTE('Raw Data'!D26," ",""),1)="e", "Electronics",LEFT(SUBSTITUTE('Raw Data'!D26," ",""),2)="mo","Mobile",LEFT(SUBSTITUTE('Raw Data'!D26," ",""),2)="ph","Photography")</f>
        <v>Computers</v>
      </c>
      <c r="I26" s="11">
        <f>'Raw Data'!E26</f>
        <v>19</v>
      </c>
      <c r="J26" s="13">
        <f>'Raw Data'!F26</f>
        <v>250000</v>
      </c>
      <c r="K26" s="17">
        <f>Table1[[#This Row],[Unit Price]]*Table1[[#This Row],[Units Sold]]</f>
        <v>4750000</v>
      </c>
      <c r="L26" s="10" t="str">
        <f>UPPER(TRIM(CLEAN(SUBSTITUTE(SUBSTITUTE(SUBSTITUTE('Raw Data'!G26,",",""),".","")," ",""))))</f>
        <v>GRACEAMOS</v>
      </c>
      <c r="M26" s="16" t="str" cm="1">
        <f t="array" ref="M26">_xlfn.IFS(LEFT(SUBSTITUTE('Raw Data'!H26," ",""),1)="M", "Musa Enterprrises",LEFT(SUBSTITUTE('Raw Data'!H26," ",""),1)="o", "Omega Wholesale",LEFT(SUBSTITUTE('Raw Data'!H26," ",""),4)="Tola", "Tola Ventures", LEFT(SUBSTITUTE('Raw Data'!H26," ",""),1)="T", "Tope &amp; Sons",LEFT(SUBSTITUTE('Raw Data'!H26," ",""),1)="z","Zainab Global",LEFT(SUBSTITUTE('Raw Data'!H26," ",""),2)="Ma","Maryam Ltd",LEFT(SUBSTITUTE('Raw Data'!H26," ",""),1)="j","Jide Superstores",LEFT(SUBSTITUTE('Raw Data'!H26," ",""),1)="f","Femi Tech",LEFT(SUBSTITUTE('Raw Data'!H26," ",""),1)="k","Kelvin Tech",LEFT(SUBSTITUTE('Raw Data'!H26," ",""),1)="A","Adewale Stores",LEFT(SUBSTITUTE('Raw Data'!H26," ",""),2)="Al","Alpha Retailers",LEFT(SUBSTITUTE('Raw Data'!H26," ",""),1)="b","Bright Solutions",LEFT(SUBSTITUTE('Raw Data'!H26," ",""),1)="c","Chika Mart",LEFT(SUBSTITUTE('Raw Data'!H26," ",""),1)="e","Emeka Traders")</f>
        <v>Femi Tech</v>
      </c>
    </row>
    <row r="27" spans="1:13" x14ac:dyDescent="0.25">
      <c r="A27" s="20" t="str">
        <f>UPPER(SUBSTITUTE(SUBSTITUTE(SUBSTITUTE(CLEAN('Raw Data'!A27),"-","")," ",""),".",""))</f>
        <v>11MAY2025</v>
      </c>
      <c r="B27" s="20" t="str">
        <f>LEFT(Table1[[#This Row],[Raw Date]],2)</f>
        <v>11</v>
      </c>
      <c r="C27" s="20" t="str">
        <f>SUBSTITUTE(SUBSTITUTE(SUBSTITUTE(MID(Table1[[#This Row],[Raw Date]],3,3),"AMR","MAR"),"JNA","JAN"),"PAR","APR")</f>
        <v>MAY</v>
      </c>
      <c r="D27" s="30">
        <f>IF(YEAR(RIGHT(Table1[[#This Row],[Raw Date]],4))&lt;&gt;2025,2025,0)</f>
        <v>2025</v>
      </c>
      <c r="E27" s="20" t="str">
        <f t="shared" si="0"/>
        <v>11-MAY-2025</v>
      </c>
      <c r="F27" s="10" t="str" cm="1">
        <f t="array" ref="F27">_xlfn.IFS(LEFT(SUBSTITUTE('Raw Data'!B27," ",""),1)="s", "South", LEFT(SUBSTITUTE('Raw Data'!B27," ",""),1)="n", "North",LEFT(SUBSTITUTE('Raw Data'!B27," ",""),1)="e","East",LEFT(SUBSTITUTE('Raw Data'!B27," ",""),1)="w","West")</f>
        <v>East</v>
      </c>
      <c r="G27" s="10" t="str">
        <f>PROPER(CLEAN(SUBSTITUTE(SUBSTITUTE(SUBSTITUTE('Raw Data'!C27," ",""),",",""),".","")))</f>
        <v>Camerac010</v>
      </c>
      <c r="H27" s="12" t="str" cm="1">
        <f t="array" ref="H27">_xlfn.IFS(LEFT(SUBSTITUTE('Raw Data'!D27," ",""),2)="pe", "Peripherals",LEFT(SUBSTITUTE('Raw Data'!D27," ",""),2)="au", "Audio",LEFT(SUBSTITUTE('Raw Data'!D27," ",""),2)="co", "Computers", LEFT(SUBSTITUTE('Raw Data'!D27," ",""),1)="e", "Electronics",LEFT(SUBSTITUTE('Raw Data'!D27," ",""),2)="mo","Mobile",LEFT(SUBSTITUTE('Raw Data'!D27," ",""),2)="ph","Photography")</f>
        <v>Photography</v>
      </c>
      <c r="I27" s="11">
        <f>'Raw Data'!E27</f>
        <v>12</v>
      </c>
      <c r="J27" s="13">
        <f>'Raw Data'!F27</f>
        <v>175000</v>
      </c>
      <c r="K27" s="17">
        <f>Table1[[#This Row],[Unit Price]]*Table1[[#This Row],[Units Sold]]</f>
        <v>2100000</v>
      </c>
      <c r="L27" s="10" t="str">
        <f>UPPER(TRIM(CLEAN(SUBSTITUTE(SUBSTITUTE(SUBSTITUTE('Raw Data'!G27,",",""),".","")," ",""))))</f>
        <v>CHINEDUNWOSU</v>
      </c>
      <c r="M27" s="16" t="str" cm="1">
        <f t="array" ref="M27">_xlfn.IFS(LEFT(SUBSTITUTE('Raw Data'!H27," ",""),1)="M", "Musa Enterprrises",LEFT(SUBSTITUTE('Raw Data'!H27," ",""),1)="o", "Omega Wholesale",LEFT(SUBSTITUTE('Raw Data'!H27," ",""),4)="Tola", "Tola Ventures", LEFT(SUBSTITUTE('Raw Data'!H27," ",""),1)="T", "Tope &amp; Sons",LEFT(SUBSTITUTE('Raw Data'!H27," ",""),1)="z","Zainab Global",LEFT(SUBSTITUTE('Raw Data'!H27," ",""),2)="Ma","Maryam Ltd",LEFT(SUBSTITUTE('Raw Data'!H27," ",""),1)="j","Jide Superstores",LEFT(SUBSTITUTE('Raw Data'!H27," ",""),1)="f","Femi Tech",LEFT(SUBSTITUTE('Raw Data'!H27," ",""),1)="k","Kelvin Tech",LEFT(SUBSTITUTE('Raw Data'!H27," ",""),1)="A","Adewale Stores",LEFT(SUBSTITUTE('Raw Data'!H27," ",""),2)="Al","Alpha Retailers",LEFT(SUBSTITUTE('Raw Data'!H27," ",""),1)="b","Bright Solutions",LEFT(SUBSTITUTE('Raw Data'!H27," ",""),1)="c","Chika Mart",LEFT(SUBSTITUTE('Raw Data'!H27," ",""),1)="e","Emeka Traders")</f>
        <v>Omega Wholesale</v>
      </c>
    </row>
    <row r="28" spans="1:13" x14ac:dyDescent="0.25">
      <c r="A28" s="20" t="str">
        <f>UPPER(SUBSTITUTE(SUBSTITUTE(SUBSTITUTE(CLEAN('Raw Data'!A28),"-","")," ",""),".",""))</f>
        <v>16JAN2025</v>
      </c>
      <c r="B28" s="20" t="str">
        <f>LEFT(Table1[[#This Row],[Raw Date]],2)</f>
        <v>16</v>
      </c>
      <c r="C28" s="20" t="str">
        <f>SUBSTITUTE(SUBSTITUTE(SUBSTITUTE(MID(Table1[[#This Row],[Raw Date]],3,3),"AMR","MAR"),"JNA","JAN"),"PAR","APR")</f>
        <v>JAN</v>
      </c>
      <c r="D28" s="30">
        <f>IF(YEAR(RIGHT(Table1[[#This Row],[Raw Date]],4))&lt;&gt;2025,2025,0)</f>
        <v>2025</v>
      </c>
      <c r="E28" s="20" t="str">
        <f t="shared" si="0"/>
        <v>16-JAN-2025</v>
      </c>
      <c r="F28" s="10" t="str" cm="1">
        <f t="array" ref="F28">_xlfn.IFS(LEFT(SUBSTITUTE('Raw Data'!B28," ",""),1)="s", "South", LEFT(SUBSTITUTE('Raw Data'!B28," ",""),1)="n", "North",LEFT(SUBSTITUTE('Raw Data'!B28," ",""),1)="e","East",LEFT(SUBSTITUTE('Raw Data'!B28," ",""),1)="w","West")</f>
        <v>North</v>
      </c>
      <c r="G28" s="10" t="str">
        <f>PROPER(CLEAN(SUBSTITUTE(SUBSTITUTE(SUBSTITUTE('Raw Data'!C28," ",""),",",""),".","")))</f>
        <v>Speakers10</v>
      </c>
      <c r="H28" s="12" t="str" cm="1">
        <f t="array" ref="H28">_xlfn.IFS(LEFT(SUBSTITUTE('Raw Data'!D28," ",""),2)="pe", "Peripherals",LEFT(SUBSTITUTE('Raw Data'!D28," ",""),2)="au", "Audio",LEFT(SUBSTITUTE('Raw Data'!D28," ",""),2)="co", "Computers", LEFT(SUBSTITUTE('Raw Data'!D28," ",""),1)="e", "Electronics",LEFT(SUBSTITUTE('Raw Data'!D28," ",""),2)="mo","Mobile",LEFT(SUBSTITUTE('Raw Data'!D28," ",""),2)="ph","Photography")</f>
        <v>Audio</v>
      </c>
      <c r="I28" s="11">
        <f>'Raw Data'!E28</f>
        <v>11</v>
      </c>
      <c r="J28" s="13">
        <f>'Raw Data'!F28</f>
        <v>85000</v>
      </c>
      <c r="K28" s="17">
        <f>Table1[[#This Row],[Unit Price]]*Table1[[#This Row],[Units Sold]]</f>
        <v>935000</v>
      </c>
      <c r="L28" s="10" t="str">
        <f>UPPER(TRIM(CLEAN(SUBSTITUTE(SUBSTITUTE(SUBSTITUTE('Raw Data'!G28,",",""),".","")," ",""))))</f>
        <v>GRACEAMOS</v>
      </c>
      <c r="M28" s="16" t="str" cm="1">
        <f t="array" ref="M28">_xlfn.IFS(LEFT(SUBSTITUTE('Raw Data'!H28," ",""),1)="M", "Musa Enterprrises",LEFT(SUBSTITUTE('Raw Data'!H28," ",""),1)="o", "Omega Wholesale",LEFT(SUBSTITUTE('Raw Data'!H28," ",""),4)="Tola", "Tola Ventures", LEFT(SUBSTITUTE('Raw Data'!H28," ",""),1)="T", "Tope &amp; Sons",LEFT(SUBSTITUTE('Raw Data'!H28," ",""),1)="z","Zainab Global",LEFT(SUBSTITUTE('Raw Data'!H28," ",""),2)="Ma","Maryam Ltd",LEFT(SUBSTITUTE('Raw Data'!H28," ",""),1)="j","Jide Superstores",LEFT(SUBSTITUTE('Raw Data'!H28," ",""),1)="f","Femi Tech",LEFT(SUBSTITUTE('Raw Data'!H28," ",""),1)="k","Kelvin Tech",LEFT(SUBSTITUTE('Raw Data'!H28," ",""),1)="A","Adewale Stores",LEFT(SUBSTITUTE('Raw Data'!H28," ",""),2)="Al","Alpha Retailers",LEFT(SUBSTITUTE('Raw Data'!H28," ",""),1)="b","Bright Solutions",LEFT(SUBSTITUTE('Raw Data'!H28," ",""),1)="c","Chika Mart",LEFT(SUBSTITUTE('Raw Data'!H28," ",""),1)="e","Emeka Traders")</f>
        <v>Femi Tech</v>
      </c>
    </row>
    <row r="29" spans="1:13" x14ac:dyDescent="0.25">
      <c r="A29" s="20" t="str">
        <f>UPPER(SUBSTITUTE(SUBSTITUTE(SUBSTITUTE(CLEAN('Raw Data'!A29),"-","")," ",""),".",""))</f>
        <v>10MAY2025</v>
      </c>
      <c r="B29" s="20" t="str">
        <f>LEFT(Table1[[#This Row],[Raw Date]],2)</f>
        <v>10</v>
      </c>
      <c r="C29" s="20" t="str">
        <f>SUBSTITUTE(SUBSTITUTE(SUBSTITUTE(MID(Table1[[#This Row],[Raw Date]],3,3),"AMR","MAR"),"JNA","JAN"),"PAR","APR")</f>
        <v>MAY</v>
      </c>
      <c r="D29" s="30">
        <f>IF(YEAR(RIGHT(Table1[[#This Row],[Raw Date]],4))&lt;&gt;2025,2025,0)</f>
        <v>2025</v>
      </c>
      <c r="E29" s="20" t="str">
        <f t="shared" si="0"/>
        <v>10-MAY-2025</v>
      </c>
      <c r="F29" s="10" t="str" cm="1">
        <f t="array" ref="F29">_xlfn.IFS(LEFT(SUBSTITUTE('Raw Data'!B29," ",""),1)="s", "South", LEFT(SUBSTITUTE('Raw Data'!B29," ",""),1)="n", "North",LEFT(SUBSTITUTE('Raw Data'!B29," ",""),1)="e","East",LEFT(SUBSTITUTE('Raw Data'!B29," ",""),1)="w","West")</f>
        <v>North</v>
      </c>
      <c r="G29" s="10" t="str">
        <f>PROPER(CLEAN(SUBSTITUTE(SUBSTITUTE(SUBSTITUTE('Raw Data'!C29," ",""),",",""),".","")))</f>
        <v>Monitorm24</v>
      </c>
      <c r="H29" s="12" t="str" cm="1">
        <f t="array" ref="H29">_xlfn.IFS(LEFT(SUBSTITUTE('Raw Data'!D29," ",""),2)="pe", "Peripherals",LEFT(SUBSTITUTE('Raw Data'!D29," ",""),2)="au", "Audio",LEFT(SUBSTITUTE('Raw Data'!D29," ",""),2)="co", "Computers", LEFT(SUBSTITUTE('Raw Data'!D29," ",""),1)="e", "Electronics",LEFT(SUBSTITUTE('Raw Data'!D29," ",""),2)="mo","Mobile",LEFT(SUBSTITUTE('Raw Data'!D29," ",""),2)="ph","Photography")</f>
        <v>Peripherals</v>
      </c>
      <c r="I29" s="11">
        <f>'Raw Data'!E29</f>
        <v>17</v>
      </c>
      <c r="J29" s="13">
        <f>'Raw Data'!F29</f>
        <v>65000</v>
      </c>
      <c r="K29" s="17">
        <f>Table1[[#This Row],[Unit Price]]*Table1[[#This Row],[Units Sold]]</f>
        <v>1105000</v>
      </c>
      <c r="L29" s="10" t="str">
        <f>UPPER(TRIM(CLEAN(SUBSTITUTE(SUBSTITUTE(SUBSTITUTE('Raw Data'!G29,",",""),".","")," ",""))))</f>
        <v>CHINEDUNWOSU</v>
      </c>
      <c r="M29" s="16" t="str" cm="1">
        <f t="array" ref="M29">_xlfn.IFS(LEFT(SUBSTITUTE('Raw Data'!H29," ",""),1)="M", "Musa Enterprrises",LEFT(SUBSTITUTE('Raw Data'!H29," ",""),1)="o", "Omega Wholesale",LEFT(SUBSTITUTE('Raw Data'!H29," ",""),4)="Tola", "Tola Ventures", LEFT(SUBSTITUTE('Raw Data'!H29," ",""),1)="T", "Tope &amp; Sons",LEFT(SUBSTITUTE('Raw Data'!H29," ",""),1)="z","Zainab Global",LEFT(SUBSTITUTE('Raw Data'!H29," ",""),2)="Ma","Maryam Ltd",LEFT(SUBSTITUTE('Raw Data'!H29," ",""),1)="j","Jide Superstores",LEFT(SUBSTITUTE('Raw Data'!H29," ",""),1)="f","Femi Tech",LEFT(SUBSTITUTE('Raw Data'!H29," ",""),1)="k","Kelvin Tech",LEFT(SUBSTITUTE('Raw Data'!H29," ",""),1)="A","Adewale Stores",LEFT(SUBSTITUTE('Raw Data'!H29," ",""),2)="Al","Alpha Retailers",LEFT(SUBSTITUTE('Raw Data'!H29," ",""),1)="b","Bright Solutions",LEFT(SUBSTITUTE('Raw Data'!H29," ",""),1)="c","Chika Mart",LEFT(SUBSTITUTE('Raw Data'!H29," ",""),1)="e","Emeka Traders")</f>
        <v>Kelvin Tech</v>
      </c>
    </row>
    <row r="30" spans="1:13" x14ac:dyDescent="0.25">
      <c r="A30" s="20" t="str">
        <f>UPPER(SUBSTITUTE(SUBSTITUTE(SUBSTITUTE(CLEAN('Raw Data'!A30),"-","")," ",""),".",""))</f>
        <v>01FEB2025</v>
      </c>
      <c r="B30" s="20" t="str">
        <f>LEFT(Table1[[#This Row],[Raw Date]],2)</f>
        <v>01</v>
      </c>
      <c r="C30" s="20" t="str">
        <f>SUBSTITUTE(SUBSTITUTE(SUBSTITUTE(MID(Table1[[#This Row],[Raw Date]],3,3),"AMR","MAR"),"JNA","JAN"),"PAR","APR")</f>
        <v>FEB</v>
      </c>
      <c r="D30" s="30">
        <f>IF(YEAR(RIGHT(Table1[[#This Row],[Raw Date]],4))&lt;&gt;2025,2025,0)</f>
        <v>2025</v>
      </c>
      <c r="E30" s="20" t="str">
        <f t="shared" si="0"/>
        <v>01-FEB-2025</v>
      </c>
      <c r="F30" s="10" t="str" cm="1">
        <f t="array" ref="F30">_xlfn.IFS(LEFT(SUBSTITUTE('Raw Data'!B30," ",""),1)="s", "South", LEFT(SUBSTITUTE('Raw Data'!B30," ",""),1)="n", "North",LEFT(SUBSTITUTE('Raw Data'!B30," ",""),1)="e","East",LEFT(SUBSTITUTE('Raw Data'!B30," ",""),1)="w","West")</f>
        <v>South</v>
      </c>
      <c r="G30" s="10" t="str">
        <f>PROPER(CLEAN(SUBSTITUTE(SUBSTITUTE(SUBSTITUTE('Raw Data'!C30," ",""),",",""),".","")))</f>
        <v>Tv43Q</v>
      </c>
      <c r="H30" s="12" t="str" cm="1">
        <f t="array" ref="H30">_xlfn.IFS(LEFT(SUBSTITUTE('Raw Data'!D30," ",""),2)="pe", "Peripherals",LEFT(SUBSTITUTE('Raw Data'!D30," ",""),2)="au", "Audio",LEFT(SUBSTITUTE('Raw Data'!D30," ",""),2)="co", "Computers", LEFT(SUBSTITUTE('Raw Data'!D30," ",""),1)="e", "Electronics",LEFT(SUBSTITUTE('Raw Data'!D30," ",""),2)="mo","Mobile",LEFT(SUBSTITUTE('Raw Data'!D30," ",""),2)="ph","Photography")</f>
        <v>Electronics</v>
      </c>
      <c r="I30" s="11">
        <f>'Raw Data'!E30</f>
        <v>15</v>
      </c>
      <c r="J30" s="13">
        <f>'Raw Data'!F30</f>
        <v>350000</v>
      </c>
      <c r="K30" s="17">
        <f>Table1[[#This Row],[Unit Price]]*Table1[[#This Row],[Units Sold]]</f>
        <v>5250000</v>
      </c>
      <c r="L30" s="10" t="str">
        <f>UPPER(TRIM(CLEAN(SUBSTITUTE(SUBSTITUTE(SUBSTITUTE('Raw Data'!G30,",",""),".","")," ",""))))</f>
        <v>JOBAUSTIN</v>
      </c>
      <c r="M30" s="16" t="str" cm="1">
        <f t="array" ref="M30">_xlfn.IFS(LEFT(SUBSTITUTE('Raw Data'!H30," ",""),1)="M", "Musa Enterprrises",LEFT(SUBSTITUTE('Raw Data'!H30," ",""),1)="o", "Omega Wholesale",LEFT(SUBSTITUTE('Raw Data'!H30," ",""),4)="Tola", "Tola Ventures", LEFT(SUBSTITUTE('Raw Data'!H30," ",""),1)="T", "Tope &amp; Sons",LEFT(SUBSTITUTE('Raw Data'!H30," ",""),1)="z","Zainab Global",LEFT(SUBSTITUTE('Raw Data'!H30," ",""),2)="Ma","Maryam Ltd",LEFT(SUBSTITUTE('Raw Data'!H30," ",""),1)="j","Jide Superstores",LEFT(SUBSTITUTE('Raw Data'!H30," ",""),1)="f","Femi Tech",LEFT(SUBSTITUTE('Raw Data'!H30," ",""),1)="k","Kelvin Tech",LEFT(SUBSTITUTE('Raw Data'!H30," ",""),1)="A","Adewale Stores",LEFT(SUBSTITUTE('Raw Data'!H30," ",""),2)="Al","Alpha Retailers",LEFT(SUBSTITUTE('Raw Data'!H30," ",""),1)="b","Bright Solutions",LEFT(SUBSTITUTE('Raw Data'!H30," ",""),1)="c","Chika Mart",LEFT(SUBSTITUTE('Raw Data'!H30," ",""),1)="e","Emeka Traders")</f>
        <v>Zainab Global</v>
      </c>
    </row>
    <row r="31" spans="1:13" x14ac:dyDescent="0.25">
      <c r="A31" s="20" t="str">
        <f>UPPER(SUBSTITUTE(SUBSTITUTE(SUBSTITUTE(CLEAN('Raw Data'!A31),"-","")," ",""),".",""))</f>
        <v>06FEB2025</v>
      </c>
      <c r="B31" s="20" t="str">
        <f>LEFT(Table1[[#This Row],[Raw Date]],2)</f>
        <v>06</v>
      </c>
      <c r="C31" s="20" t="str">
        <f>SUBSTITUTE(SUBSTITUTE(SUBSTITUTE(MID(Table1[[#This Row],[Raw Date]],3,3),"AMR","MAR"),"JNA","JAN"),"PAR","APR")</f>
        <v>FEB</v>
      </c>
      <c r="D31" s="30">
        <f>IF(YEAR(RIGHT(Table1[[#This Row],[Raw Date]],4))&lt;&gt;2025,2025,0)</f>
        <v>2025</v>
      </c>
      <c r="E31" s="20" t="str">
        <f t="shared" si="0"/>
        <v>06-FEB-2025</v>
      </c>
      <c r="F31" s="10" t="str" cm="1">
        <f t="array" ref="F31">_xlfn.IFS(LEFT(SUBSTITUTE('Raw Data'!B31," ",""),1)="s", "South", LEFT(SUBSTITUTE('Raw Data'!B31," ",""),1)="n", "North",LEFT(SUBSTITUTE('Raw Data'!B31," ",""),1)="e","East",LEFT(SUBSTITUTE('Raw Data'!B31," ",""),1)="w","West")</f>
        <v>West</v>
      </c>
      <c r="G31" s="10" t="str">
        <f>PROPER(CLEAN(SUBSTITUTE(SUBSTITUTE(SUBSTITUTE('Raw Data'!C31," ",""),",",""),".","")))</f>
        <v>Tv43Q</v>
      </c>
      <c r="H31" s="12" t="str" cm="1">
        <f t="array" ref="H31">_xlfn.IFS(LEFT(SUBSTITUTE('Raw Data'!D31," ",""),2)="pe", "Peripherals",LEFT(SUBSTITUTE('Raw Data'!D31," ",""),2)="au", "Audio",LEFT(SUBSTITUTE('Raw Data'!D31," ",""),2)="co", "Computers", LEFT(SUBSTITUTE('Raw Data'!D31," ",""),1)="e", "Electronics",LEFT(SUBSTITUTE('Raw Data'!D31," ",""),2)="mo","Mobile",LEFT(SUBSTITUTE('Raw Data'!D31," ",""),2)="ph","Photography")</f>
        <v>Electronics</v>
      </c>
      <c r="I31" s="11">
        <f>'Raw Data'!E31</f>
        <v>8</v>
      </c>
      <c r="J31" s="13">
        <f>'Raw Data'!F31</f>
        <v>350000</v>
      </c>
      <c r="K31" s="17">
        <f>Table1[[#This Row],[Unit Price]]*Table1[[#This Row],[Units Sold]]</f>
        <v>2800000</v>
      </c>
      <c r="L31" s="10" t="str">
        <f>UPPER(TRIM(CLEAN(SUBSTITUTE(SUBSTITUTE(SUBSTITUTE('Raw Data'!G31,",",""),".","")," ",""))))</f>
        <v>PETEROBI</v>
      </c>
      <c r="M31" s="16" t="str" cm="1">
        <f t="array" ref="M31">_xlfn.IFS(LEFT(SUBSTITUTE('Raw Data'!H31," ",""),1)="M", "Musa Enterprrises",LEFT(SUBSTITUTE('Raw Data'!H31," ",""),1)="o", "Omega Wholesale",LEFT(SUBSTITUTE('Raw Data'!H31," ",""),4)="Tola", "Tola Ventures", LEFT(SUBSTITUTE('Raw Data'!H31," ",""),1)="T", "Tope &amp; Sons",LEFT(SUBSTITUTE('Raw Data'!H31," ",""),1)="z","Zainab Global",LEFT(SUBSTITUTE('Raw Data'!H31," ",""),2)="Ma","Maryam Ltd",LEFT(SUBSTITUTE('Raw Data'!H31," ",""),1)="j","Jide Superstores",LEFT(SUBSTITUTE('Raw Data'!H31," ",""),1)="f","Femi Tech",LEFT(SUBSTITUTE('Raw Data'!H31," ",""),1)="k","Kelvin Tech",LEFT(SUBSTITUTE('Raw Data'!H31," ",""),1)="A","Adewale Stores",LEFT(SUBSTITUTE('Raw Data'!H31," ",""),2)="Al","Alpha Retailers",LEFT(SUBSTITUTE('Raw Data'!H31," ",""),1)="b","Bright Solutions",LEFT(SUBSTITUTE('Raw Data'!H31," ",""),1)="c","Chika Mart",LEFT(SUBSTITUTE('Raw Data'!H31," ",""),1)="e","Emeka Traders")</f>
        <v>Femi Tech</v>
      </c>
    </row>
    <row r="32" spans="1:13" x14ac:dyDescent="0.25">
      <c r="A32" s="20" t="str">
        <f>UPPER(SUBSTITUTE(SUBSTITUTE(SUBSTITUTE(CLEAN('Raw Data'!A32),"-","")," ",""),".",""))</f>
        <v>17JUN2025</v>
      </c>
      <c r="B32" s="20" t="str">
        <f>LEFT(Table1[[#This Row],[Raw Date]],2)</f>
        <v>17</v>
      </c>
      <c r="C32" s="20" t="str">
        <f>SUBSTITUTE(SUBSTITUTE(SUBSTITUTE(MID(Table1[[#This Row],[Raw Date]],3,3),"AMR","MAR"),"JNA","JAN"),"PAR","APR")</f>
        <v>JUN</v>
      </c>
      <c r="D32" s="30">
        <f>IF(YEAR(RIGHT(Table1[[#This Row],[Raw Date]],4))&lt;&gt;2025,2025,0)</f>
        <v>2025</v>
      </c>
      <c r="E32" s="20" t="str">
        <f t="shared" si="0"/>
        <v>17-JUN-2025</v>
      </c>
      <c r="F32" s="10" t="str" cm="1">
        <f t="array" ref="F32">_xlfn.IFS(LEFT(SUBSTITUTE('Raw Data'!B32," ",""),1)="s", "South", LEFT(SUBSTITUTE('Raw Data'!B32," ",""),1)="n", "North",LEFT(SUBSTITUTE('Raw Data'!B32," ",""),1)="e","East",LEFT(SUBSTITUTE('Raw Data'!B32," ",""),1)="w","West")</f>
        <v>West</v>
      </c>
      <c r="G32" s="10" t="str">
        <f>PROPER(CLEAN(SUBSTITUTE(SUBSTITUTE(SUBSTITUTE('Raw Data'!C32," ",""),",",""),".","")))</f>
        <v>Tv43Q</v>
      </c>
      <c r="H32" s="12" t="str" cm="1">
        <f t="array" ref="H32">_xlfn.IFS(LEFT(SUBSTITUTE('Raw Data'!D32," ",""),2)="pe", "Peripherals",LEFT(SUBSTITUTE('Raw Data'!D32," ",""),2)="au", "Audio",LEFT(SUBSTITUTE('Raw Data'!D32," ",""),2)="co", "Computers", LEFT(SUBSTITUTE('Raw Data'!D32," ",""),1)="e", "Electronics",LEFT(SUBSTITUTE('Raw Data'!D32," ",""),2)="mo","Mobile",LEFT(SUBSTITUTE('Raw Data'!D32," ",""),2)="ph","Photography")</f>
        <v>Electronics</v>
      </c>
      <c r="I32" s="11">
        <f>'Raw Data'!E32</f>
        <v>14</v>
      </c>
      <c r="J32" s="13">
        <f>'Raw Data'!F32</f>
        <v>350000</v>
      </c>
      <c r="K32" s="17">
        <f>Table1[[#This Row],[Unit Price]]*Table1[[#This Row],[Units Sold]]</f>
        <v>4900000</v>
      </c>
      <c r="L32" s="10" t="str">
        <f>UPPER(TRIM(CLEAN(SUBSTITUTE(SUBSTITUTE(SUBSTITUTE('Raw Data'!G32,",",""),".","")," ",""))))</f>
        <v>CHINEDUNWOSU</v>
      </c>
      <c r="M32" s="16" t="str" cm="1">
        <f t="array" ref="M32">_xlfn.IFS(LEFT(SUBSTITUTE('Raw Data'!H32," ",""),1)="M", "Musa Enterprrises",LEFT(SUBSTITUTE('Raw Data'!H32," ",""),1)="o", "Omega Wholesale",LEFT(SUBSTITUTE('Raw Data'!H32," ",""),4)="Tola", "Tola Ventures", LEFT(SUBSTITUTE('Raw Data'!H32," ",""),1)="T", "Tope &amp; Sons",LEFT(SUBSTITUTE('Raw Data'!H32," ",""),1)="z","Zainab Global",LEFT(SUBSTITUTE('Raw Data'!H32," ",""),2)="Ma","Maryam Ltd",LEFT(SUBSTITUTE('Raw Data'!H32," ",""),1)="j","Jide Superstores",LEFT(SUBSTITUTE('Raw Data'!H32," ",""),1)="f","Femi Tech",LEFT(SUBSTITUTE('Raw Data'!H32," ",""),1)="k","Kelvin Tech",LEFT(SUBSTITUTE('Raw Data'!H32," ",""),1)="A","Adewale Stores",LEFT(SUBSTITUTE('Raw Data'!H32," ",""),2)="Al","Alpha Retailers",LEFT(SUBSTITUTE('Raw Data'!H32," ",""),1)="b","Bright Solutions",LEFT(SUBSTITUTE('Raw Data'!H32," ",""),1)="c","Chika Mart",LEFT(SUBSTITUTE('Raw Data'!H32," ",""),1)="e","Emeka Traders")</f>
        <v>Tope &amp; Sons</v>
      </c>
    </row>
    <row r="33" spans="1:13" x14ac:dyDescent="0.25">
      <c r="A33" s="20" t="str">
        <f>UPPER(SUBSTITUTE(SUBSTITUTE(SUBSTITUTE(CLEAN('Raw Data'!A33),"-","")," ",""),".",""))</f>
        <v>09JAN2025</v>
      </c>
      <c r="B33" s="20" t="str">
        <f>LEFT(Table1[[#This Row],[Raw Date]],2)</f>
        <v>09</v>
      </c>
      <c r="C33" s="20" t="str">
        <f>SUBSTITUTE(SUBSTITUTE(SUBSTITUTE(MID(Table1[[#This Row],[Raw Date]],3,3),"AMR","MAR"),"JNA","JAN"),"PAR","APR")</f>
        <v>JAN</v>
      </c>
      <c r="D33" s="30">
        <f>IF(YEAR(RIGHT(Table1[[#This Row],[Raw Date]],4))&lt;&gt;2025,2025,0)</f>
        <v>2025</v>
      </c>
      <c r="E33" s="20" t="str">
        <f t="shared" si="0"/>
        <v>09-JAN-2025</v>
      </c>
      <c r="F33" s="10" t="str" cm="1">
        <f t="array" ref="F33">_xlfn.IFS(LEFT(SUBSTITUTE('Raw Data'!B33," ",""),1)="s", "South", LEFT(SUBSTITUTE('Raw Data'!B33," ",""),1)="n", "North",LEFT(SUBSTITUTE('Raw Data'!B33," ",""),1)="e","East",LEFT(SUBSTITUTE('Raw Data'!B33," ",""),1)="w","West")</f>
        <v>East</v>
      </c>
      <c r="G33" s="10" t="str">
        <f>PROPER(CLEAN(SUBSTITUTE(SUBSTITUTE(SUBSTITUTE('Raw Data'!C33," ",""),",",""),".","")))</f>
        <v>Tablett8</v>
      </c>
      <c r="H33" s="12" t="str" cm="1">
        <f t="array" ref="H33">_xlfn.IFS(LEFT(SUBSTITUTE('Raw Data'!D33," ",""),2)="pe", "Peripherals",LEFT(SUBSTITUTE('Raw Data'!D33," ",""),2)="au", "Audio",LEFT(SUBSTITUTE('Raw Data'!D33," ",""),2)="co", "Computers", LEFT(SUBSTITUTE('Raw Data'!D33," ",""),1)="e", "Electronics",LEFT(SUBSTITUTE('Raw Data'!D33," ",""),2)="mo","Mobile",LEFT(SUBSTITUTE('Raw Data'!D33," ",""),2)="ph","Photography")</f>
        <v>Mobile</v>
      </c>
      <c r="I33" s="11">
        <f>'Raw Data'!E33</f>
        <v>12</v>
      </c>
      <c r="J33" s="13">
        <f>'Raw Data'!F33</f>
        <v>150000</v>
      </c>
      <c r="K33" s="17">
        <f>Table1[[#This Row],[Unit Price]]*Table1[[#This Row],[Units Sold]]</f>
        <v>1800000</v>
      </c>
      <c r="L33" s="10" t="str">
        <f>UPPER(TRIM(CLEAN(SUBSTITUTE(SUBSTITUTE(SUBSTITUTE('Raw Data'!G33,",",""),".","")," ",""))))</f>
        <v>FOLABALOGUN</v>
      </c>
      <c r="M33" s="16" t="str" cm="1">
        <f t="array" ref="M33">_xlfn.IFS(LEFT(SUBSTITUTE('Raw Data'!H33," ",""),1)="M", "Musa Enterprrises",LEFT(SUBSTITUTE('Raw Data'!H33," ",""),1)="o", "Omega Wholesale",LEFT(SUBSTITUTE('Raw Data'!H33," ",""),4)="Tola", "Tola Ventures", LEFT(SUBSTITUTE('Raw Data'!H33," ",""),1)="T", "Tope &amp; Sons",LEFT(SUBSTITUTE('Raw Data'!H33," ",""),1)="z","Zainab Global",LEFT(SUBSTITUTE('Raw Data'!H33," ",""),2)="Ma","Maryam Ltd",LEFT(SUBSTITUTE('Raw Data'!H33," ",""),1)="j","Jide Superstores",LEFT(SUBSTITUTE('Raw Data'!H33," ",""),1)="f","Femi Tech",LEFT(SUBSTITUTE('Raw Data'!H33," ",""),1)="k","Kelvin Tech",LEFT(SUBSTITUTE('Raw Data'!H33," ",""),1)="A","Adewale Stores",LEFT(SUBSTITUTE('Raw Data'!H33," ",""),2)="Al","Alpha Retailers",LEFT(SUBSTITUTE('Raw Data'!H33," ",""),1)="b","Bright Solutions",LEFT(SUBSTITUTE('Raw Data'!H33," ",""),1)="c","Chika Mart",LEFT(SUBSTITUTE('Raw Data'!H33," ",""),1)="e","Emeka Traders")</f>
        <v>Adewale Stores</v>
      </c>
    </row>
    <row r="34" spans="1:13" x14ac:dyDescent="0.25">
      <c r="A34" s="20" t="str">
        <f>UPPER(SUBSTITUTE(SUBSTITUTE(SUBSTITUTE(CLEAN('Raw Data'!A34),"-","")," ",""),".",""))</f>
        <v>29JUN2025</v>
      </c>
      <c r="B34" s="20" t="str">
        <f>LEFT(Table1[[#This Row],[Raw Date]],2)</f>
        <v>29</v>
      </c>
      <c r="C34" s="20" t="str">
        <f>SUBSTITUTE(SUBSTITUTE(SUBSTITUTE(MID(Table1[[#This Row],[Raw Date]],3,3),"AMR","MAR"),"JNA","JAN"),"PAR","APR")</f>
        <v>JUN</v>
      </c>
      <c r="D34" s="30">
        <f>IF(YEAR(RIGHT(Table1[[#This Row],[Raw Date]],4))&lt;&gt;2025,2025,0)</f>
        <v>2025</v>
      </c>
      <c r="E34" s="20" t="str">
        <f t="shared" ref="E34:E65" si="1">_xlfn.CONCAT(B34&amp;"-"&amp;C34&amp;"-"&amp;D34)</f>
        <v>29-JUN-2025</v>
      </c>
      <c r="F34" s="10" t="str" cm="1">
        <f t="array" ref="F34">_xlfn.IFS(LEFT(SUBSTITUTE('Raw Data'!B34," ",""),1)="s", "South", LEFT(SUBSTITUTE('Raw Data'!B34," ",""),1)="n", "North",LEFT(SUBSTITUTE('Raw Data'!B34," ",""),1)="e","East",LEFT(SUBSTITUTE('Raw Data'!B34," ",""),1)="w","West")</f>
        <v>North</v>
      </c>
      <c r="G34" s="10" t="str">
        <f>PROPER(CLEAN(SUBSTITUTE(SUBSTITUTE(SUBSTITUTE('Raw Data'!C34," ",""),",",""),".","")))</f>
        <v>Camerac100</v>
      </c>
      <c r="H34" s="12" t="str" cm="1">
        <f t="array" ref="H34">_xlfn.IFS(LEFT(SUBSTITUTE('Raw Data'!D34," ",""),2)="pe", "Peripherals",LEFT(SUBSTITUTE('Raw Data'!D34," ",""),2)="au", "Audio",LEFT(SUBSTITUTE('Raw Data'!D34," ",""),2)="co", "Computers", LEFT(SUBSTITUTE('Raw Data'!D34," ",""),1)="e", "Electronics",LEFT(SUBSTITUTE('Raw Data'!D34," ",""),2)="mo","Mobile",LEFT(SUBSTITUTE('Raw Data'!D34," ",""),2)="ph","Photography")</f>
        <v>Photography</v>
      </c>
      <c r="I34" s="11">
        <f>'Raw Data'!E34</f>
        <v>8</v>
      </c>
      <c r="J34" s="13">
        <f>'Raw Data'!F34</f>
        <v>175000</v>
      </c>
      <c r="K34" s="17">
        <f>Table1[[#This Row],[Unit Price]]*Table1[[#This Row],[Units Sold]]</f>
        <v>1400000</v>
      </c>
      <c r="L34" s="10" t="str">
        <f>UPPER(TRIM(CLEAN(SUBSTITUTE(SUBSTITUTE(SUBSTITUTE('Raw Data'!G34,",",""),".","")," ",""))))</f>
        <v>PETEROBI</v>
      </c>
      <c r="M34" s="16" t="str" cm="1">
        <f t="array" ref="M34">_xlfn.IFS(LEFT(SUBSTITUTE('Raw Data'!H34," ",""),1)="M", "Musa Enterprrises",LEFT(SUBSTITUTE('Raw Data'!H34," ",""),1)="o", "Omega Wholesale",LEFT(SUBSTITUTE('Raw Data'!H34," ",""),4)="Tola", "Tola Ventures", LEFT(SUBSTITUTE('Raw Data'!H34," ",""),1)="T", "Tope &amp; Sons",LEFT(SUBSTITUTE('Raw Data'!H34," ",""),1)="z","Zainab Global",LEFT(SUBSTITUTE('Raw Data'!H34," ",""),2)="Ma","Maryam Ltd",LEFT(SUBSTITUTE('Raw Data'!H34," ",""),1)="j","Jide Superstores",LEFT(SUBSTITUTE('Raw Data'!H34," ",""),1)="f","Femi Tech",LEFT(SUBSTITUTE('Raw Data'!H34," ",""),1)="k","Kelvin Tech",LEFT(SUBSTITUTE('Raw Data'!H34," ",""),1)="A","Adewale Stores",LEFT(SUBSTITUTE('Raw Data'!H34," ",""),2)="Al","Alpha Retailers",LEFT(SUBSTITUTE('Raw Data'!H34," ",""),1)="b","Bright Solutions",LEFT(SUBSTITUTE('Raw Data'!H34," ",""),1)="c","Chika Mart",LEFT(SUBSTITUTE('Raw Data'!H34," ",""),1)="e","Emeka Traders")</f>
        <v>Adewale Stores</v>
      </c>
    </row>
    <row r="35" spans="1:13" x14ac:dyDescent="0.25">
      <c r="A35" s="20" t="str">
        <f>UPPER(SUBSTITUTE(SUBSTITUTE(SUBSTITUTE(CLEAN('Raw Data'!A35),"-","")," ",""),".",""))</f>
        <v>19MAR2025</v>
      </c>
      <c r="B35" s="20" t="str">
        <f>LEFT(Table1[[#This Row],[Raw Date]],2)</f>
        <v>19</v>
      </c>
      <c r="C35" s="20" t="str">
        <f>SUBSTITUTE(SUBSTITUTE(SUBSTITUTE(MID(Table1[[#This Row],[Raw Date]],3,3),"AMR","MAR"),"JNA","JAN"),"PAR","APR")</f>
        <v>MAR</v>
      </c>
      <c r="D35" s="30">
        <f>IF(YEAR(RIGHT(Table1[[#This Row],[Raw Date]],4))&lt;&gt;2025,2025,0)</f>
        <v>2025</v>
      </c>
      <c r="E35" s="20" t="str">
        <f t="shared" si="1"/>
        <v>19-MAR-2025</v>
      </c>
      <c r="F35" s="10" t="str" cm="1">
        <f t="array" ref="F35">_xlfn.IFS(LEFT(SUBSTITUTE('Raw Data'!B35," ",""),1)="s", "South", LEFT(SUBSTITUTE('Raw Data'!B35," ",""),1)="n", "North",LEFT(SUBSTITUTE('Raw Data'!B35," ",""),1)="e","East",LEFT(SUBSTITUTE('Raw Data'!B35," ",""),1)="w","West")</f>
        <v>South</v>
      </c>
      <c r="G35" s="10" t="str">
        <f>PROPER(CLEAN(SUBSTITUTE(SUBSTITUTE(SUBSTITUTE('Raw Data'!C35," ",""),",",""),".","")))</f>
        <v>Tablett8</v>
      </c>
      <c r="H35" s="12" t="str" cm="1">
        <f t="array" ref="H35">_xlfn.IFS(LEFT(SUBSTITUTE('Raw Data'!D35," ",""),2)="pe", "Peripherals",LEFT(SUBSTITUTE('Raw Data'!D35," ",""),2)="au", "Audio",LEFT(SUBSTITUTE('Raw Data'!D35," ",""),2)="co", "Computers", LEFT(SUBSTITUTE('Raw Data'!D35," ",""),1)="e", "Electronics",LEFT(SUBSTITUTE('Raw Data'!D35," ",""),2)="mo","Mobile",LEFT(SUBSTITUTE('Raw Data'!D35," ",""),2)="ph","Photography")</f>
        <v>Mobile</v>
      </c>
      <c r="I35" s="11">
        <f>'Raw Data'!E35</f>
        <v>6</v>
      </c>
      <c r="J35" s="13">
        <f>'Raw Data'!F35</f>
        <v>150000</v>
      </c>
      <c r="K35" s="17">
        <f>Table1[[#This Row],[Unit Price]]*Table1[[#This Row],[Units Sold]]</f>
        <v>900000</v>
      </c>
      <c r="L35" s="10" t="str">
        <f>UPPER(TRIM(CLEAN(SUBSTITUTE(SUBSTITUTE(SUBSTITUTE('Raw Data'!G35,",",""),".","")," ",""))))</f>
        <v>PETEROBI</v>
      </c>
      <c r="M35" s="16" t="str" cm="1">
        <f t="array" ref="M35">_xlfn.IFS(LEFT(SUBSTITUTE('Raw Data'!H35," ",""),1)="M", "Musa Enterprrises",LEFT(SUBSTITUTE('Raw Data'!H35," ",""),1)="o", "Omega Wholesale",LEFT(SUBSTITUTE('Raw Data'!H35," ",""),4)="Tola", "Tola Ventures", LEFT(SUBSTITUTE('Raw Data'!H35," ",""),1)="T", "Tope &amp; Sons",LEFT(SUBSTITUTE('Raw Data'!H35," ",""),1)="z","Zainab Global",LEFT(SUBSTITUTE('Raw Data'!H35," ",""),2)="Ma","Maryam Ltd",LEFT(SUBSTITUTE('Raw Data'!H35," ",""),1)="j","Jide Superstores",LEFT(SUBSTITUTE('Raw Data'!H35," ",""),1)="f","Femi Tech",LEFT(SUBSTITUTE('Raw Data'!H35," ",""),1)="k","Kelvin Tech",LEFT(SUBSTITUTE('Raw Data'!H35," ",""),1)="A","Adewale Stores",LEFT(SUBSTITUTE('Raw Data'!H35," ",""),2)="Al","Alpha Retailers",LEFT(SUBSTITUTE('Raw Data'!H35," ",""),1)="b","Bright Solutions",LEFT(SUBSTITUTE('Raw Data'!H35," ",""),1)="c","Chika Mart",LEFT(SUBSTITUTE('Raw Data'!H35," ",""),1)="e","Emeka Traders")</f>
        <v>Femi Tech</v>
      </c>
    </row>
    <row r="36" spans="1:13" x14ac:dyDescent="0.25">
      <c r="A36" s="20" t="str">
        <f>UPPER(SUBSTITUTE(SUBSTITUTE(SUBSTITUTE(CLEAN('Raw Data'!A36),"-","")," ",""),".",""))</f>
        <v>06FEB2025</v>
      </c>
      <c r="B36" s="20" t="str">
        <f>LEFT(Table1[[#This Row],[Raw Date]],2)</f>
        <v>06</v>
      </c>
      <c r="C36" s="20" t="str">
        <f>SUBSTITUTE(SUBSTITUTE(SUBSTITUTE(MID(Table1[[#This Row],[Raw Date]],3,3),"AMR","MAR"),"JNA","JAN"),"PAR","APR")</f>
        <v>FEB</v>
      </c>
      <c r="D36" s="30">
        <f>IF(YEAR(RIGHT(Table1[[#This Row],[Raw Date]],4))&lt;&gt;2025,2025,0)</f>
        <v>2025</v>
      </c>
      <c r="E36" s="20" t="str">
        <f t="shared" si="1"/>
        <v>06-FEB-2025</v>
      </c>
      <c r="F36" s="10" t="str" cm="1">
        <f t="array" ref="F36">_xlfn.IFS(LEFT(SUBSTITUTE('Raw Data'!B36," ",""),1)="s", "South", LEFT(SUBSTITUTE('Raw Data'!B36," ",""),1)="n", "North",LEFT(SUBSTITUTE('Raw Data'!B36," ",""),1)="e","East",LEFT(SUBSTITUTE('Raw Data'!B36," ",""),1)="w","West")</f>
        <v>West</v>
      </c>
      <c r="G36" s="10" t="str">
        <f>PROPER(CLEAN(SUBSTITUTE(SUBSTITUTE(SUBSTITUTE('Raw Data'!C36," ",""),",",""),".","")))</f>
        <v>Laptopa15</v>
      </c>
      <c r="H36" s="12" t="str" cm="1">
        <f t="array" ref="H36">_xlfn.IFS(LEFT(SUBSTITUTE('Raw Data'!D36," ",""),2)="pe", "Peripherals",LEFT(SUBSTITUTE('Raw Data'!D36," ",""),2)="au", "Audio",LEFT(SUBSTITUTE('Raw Data'!D36," ",""),2)="co", "Computers", LEFT(SUBSTITUTE('Raw Data'!D36," ",""),1)="e", "Electronics",LEFT(SUBSTITUTE('Raw Data'!D36," ",""),2)="mo","Mobile",LEFT(SUBSTITUTE('Raw Data'!D36," ",""),2)="ph","Photography")</f>
        <v>Computers</v>
      </c>
      <c r="I36" s="11">
        <f>'Raw Data'!E36</f>
        <v>20</v>
      </c>
      <c r="J36" s="13">
        <f>'Raw Data'!F36</f>
        <v>2500000</v>
      </c>
      <c r="K36" s="17">
        <f>Table1[[#This Row],[Unit Price]]*Table1[[#This Row],[Units Sold]]</f>
        <v>50000000</v>
      </c>
      <c r="L36" s="10" t="str">
        <f>UPPER(TRIM(CLEAN(SUBSTITUTE(SUBSTITUTE(SUBSTITUTE('Raw Data'!G36,",",""),".","")," ",""))))</f>
        <v>PETEROBI</v>
      </c>
      <c r="M36" s="16" t="str" cm="1">
        <f t="array" ref="M36">_xlfn.IFS(LEFT(SUBSTITUTE('Raw Data'!H36," ",""),1)="M", "Musa Enterprrises",LEFT(SUBSTITUTE('Raw Data'!H36," ",""),1)="o", "Omega Wholesale",LEFT(SUBSTITUTE('Raw Data'!H36," ",""),4)="Tola", "Tola Ventures", LEFT(SUBSTITUTE('Raw Data'!H36," ",""),1)="T", "Tope &amp; Sons",LEFT(SUBSTITUTE('Raw Data'!H36," ",""),1)="z","Zainab Global",LEFT(SUBSTITUTE('Raw Data'!H36," ",""),2)="Ma","Maryam Ltd",LEFT(SUBSTITUTE('Raw Data'!H36," ",""),1)="j","Jide Superstores",LEFT(SUBSTITUTE('Raw Data'!H36," ",""),1)="f","Femi Tech",LEFT(SUBSTITUTE('Raw Data'!H36," ",""),1)="k","Kelvin Tech",LEFT(SUBSTITUTE('Raw Data'!H36," ",""),1)="A","Adewale Stores",LEFT(SUBSTITUTE('Raw Data'!H36," ",""),2)="Al","Alpha Retailers",LEFT(SUBSTITUTE('Raw Data'!H36," ",""),1)="b","Bright Solutions",LEFT(SUBSTITUTE('Raw Data'!H36," ",""),1)="c","Chika Mart",LEFT(SUBSTITUTE('Raw Data'!H36," ",""),1)="e","Emeka Traders")</f>
        <v>Omega Wholesale</v>
      </c>
    </row>
    <row r="37" spans="1:13" x14ac:dyDescent="0.25">
      <c r="A37" s="20" t="str">
        <f>UPPER(SUBSTITUTE(SUBSTITUTE(SUBSTITUTE(CLEAN('Raw Data'!A37),"-","")," ",""),".",""))</f>
        <v>06APR2025</v>
      </c>
      <c r="B37" s="20" t="str">
        <f>LEFT(Table1[[#This Row],[Raw Date]],2)</f>
        <v>06</v>
      </c>
      <c r="C37" s="20" t="str">
        <f>SUBSTITUTE(SUBSTITUTE(SUBSTITUTE(MID(Table1[[#This Row],[Raw Date]],3,3),"AMR","MAR"),"JNA","JAN"),"PAR","APR")</f>
        <v>APR</v>
      </c>
      <c r="D37" s="30">
        <f>IF(YEAR(RIGHT(Table1[[#This Row],[Raw Date]],4))&lt;&gt;2025,2025,0)</f>
        <v>2025</v>
      </c>
      <c r="E37" s="20" t="str">
        <f t="shared" si="1"/>
        <v>06-APR-2025</v>
      </c>
      <c r="F37" s="10" t="str" cm="1">
        <f t="array" ref="F37">_xlfn.IFS(LEFT(SUBSTITUTE('Raw Data'!B37," ",""),1)="s", "South", LEFT(SUBSTITUTE('Raw Data'!B37," ",""),1)="n", "North",LEFT(SUBSTITUTE('Raw Data'!B37," ",""),1)="e","East",LEFT(SUBSTITUTE('Raw Data'!B37," ",""),1)="w","West")</f>
        <v>South</v>
      </c>
      <c r="G37" s="10" t="str">
        <f>PROPER(CLEAN(SUBSTITUTE(SUBSTITUTE(SUBSTITUTE('Raw Data'!C37," ",""),",",""),".","")))</f>
        <v>Monitorm24</v>
      </c>
      <c r="H37" s="12" t="str" cm="1">
        <f t="array" ref="H37">_xlfn.IFS(LEFT(SUBSTITUTE('Raw Data'!D37," ",""),2)="pe", "Peripherals",LEFT(SUBSTITUTE('Raw Data'!D37," ",""),2)="au", "Audio",LEFT(SUBSTITUTE('Raw Data'!D37," ",""),2)="co", "Computers", LEFT(SUBSTITUTE('Raw Data'!D37," ",""),1)="e", "Electronics",LEFT(SUBSTITUTE('Raw Data'!D37," ",""),2)="mo","Mobile",LEFT(SUBSTITUTE('Raw Data'!D37," ",""),2)="ph","Photography")</f>
        <v>Peripherals</v>
      </c>
      <c r="I37" s="11">
        <f>'Raw Data'!E37</f>
        <v>12</v>
      </c>
      <c r="J37" s="13">
        <f>'Raw Data'!F37</f>
        <v>65000</v>
      </c>
      <c r="K37" s="17">
        <f>Table1[[#This Row],[Unit Price]]*Table1[[#This Row],[Units Sold]]</f>
        <v>780000</v>
      </c>
      <c r="L37" s="10" t="str">
        <f>UPPER(TRIM(CLEAN(SUBSTITUTE(SUBSTITUTE(SUBSTITUTE('Raw Data'!G37,",",""),".","")," ",""))))</f>
        <v>PETEROBI</v>
      </c>
      <c r="M37" s="16" t="str" cm="1">
        <f t="array" ref="M37">_xlfn.IFS(LEFT(SUBSTITUTE('Raw Data'!H37," ",""),1)="M", "Musa Enterprrises",LEFT(SUBSTITUTE('Raw Data'!H37," ",""),1)="o", "Omega Wholesale",LEFT(SUBSTITUTE('Raw Data'!H37," ",""),4)="Tola", "Tola Ventures", LEFT(SUBSTITUTE('Raw Data'!H37," ",""),1)="T", "Tope &amp; Sons",LEFT(SUBSTITUTE('Raw Data'!H37," ",""),1)="z","Zainab Global",LEFT(SUBSTITUTE('Raw Data'!H37," ",""),2)="Ma","Maryam Ltd",LEFT(SUBSTITUTE('Raw Data'!H37," ",""),1)="j","Jide Superstores",LEFT(SUBSTITUTE('Raw Data'!H37," ",""),1)="f","Femi Tech",LEFT(SUBSTITUTE('Raw Data'!H37," ",""),1)="k","Kelvin Tech",LEFT(SUBSTITUTE('Raw Data'!H37," ",""),1)="A","Adewale Stores",LEFT(SUBSTITUTE('Raw Data'!H37," ",""),2)="Al","Alpha Retailers",LEFT(SUBSTITUTE('Raw Data'!H37," ",""),1)="b","Bright Solutions",LEFT(SUBSTITUTE('Raw Data'!H37," ",""),1)="c","Chika Mart",LEFT(SUBSTITUTE('Raw Data'!H37," ",""),1)="e","Emeka Traders")</f>
        <v>Musa Enterprrises</v>
      </c>
    </row>
    <row r="38" spans="1:13" x14ac:dyDescent="0.25">
      <c r="A38" s="20" t="str">
        <f>UPPER(SUBSTITUTE(SUBSTITUTE(SUBSTITUTE(CLEAN('Raw Data'!A38),"-","")," ",""),".",""))</f>
        <v>07FEB2025</v>
      </c>
      <c r="B38" s="20" t="str">
        <f>LEFT(Table1[[#This Row],[Raw Date]],2)</f>
        <v>07</v>
      </c>
      <c r="C38" s="20" t="str">
        <f>SUBSTITUTE(SUBSTITUTE(SUBSTITUTE(MID(Table1[[#This Row],[Raw Date]],3,3),"AMR","MAR"),"JNA","JAN"),"PAR","APR")</f>
        <v>FEB</v>
      </c>
      <c r="D38" s="30">
        <f>IF(YEAR(RIGHT(Table1[[#This Row],[Raw Date]],4))&lt;&gt;2025,2025,0)</f>
        <v>2025</v>
      </c>
      <c r="E38" s="20" t="str">
        <f t="shared" si="1"/>
        <v>07-FEB-2025</v>
      </c>
      <c r="F38" s="10" t="str" cm="1">
        <f t="array" ref="F38">_xlfn.IFS(LEFT(SUBSTITUTE('Raw Data'!B38," ",""),1)="s", "South", LEFT(SUBSTITUTE('Raw Data'!B38," ",""),1)="n", "North",LEFT(SUBSTITUTE('Raw Data'!B38," ",""),1)="e","East",LEFT(SUBSTITUTE('Raw Data'!B38," ",""),1)="w","West")</f>
        <v>South</v>
      </c>
      <c r="G38" s="10" t="str">
        <f>PROPER(CLEAN(SUBSTITUTE(SUBSTITUTE(SUBSTITUTE('Raw Data'!C38," ",""),",",""),".","")))</f>
        <v>Monitorm24</v>
      </c>
      <c r="H38" s="12" t="str" cm="1">
        <f t="array" ref="H38">_xlfn.IFS(LEFT(SUBSTITUTE('Raw Data'!D38," ",""),2)="pe", "Peripherals",LEFT(SUBSTITUTE('Raw Data'!D38," ",""),2)="au", "Audio",LEFT(SUBSTITUTE('Raw Data'!D38," ",""),2)="co", "Computers", LEFT(SUBSTITUTE('Raw Data'!D38," ",""),1)="e", "Electronics",LEFT(SUBSTITUTE('Raw Data'!D38," ",""),2)="mo","Mobile",LEFT(SUBSTITUTE('Raw Data'!D38," ",""),2)="ph","Photography")</f>
        <v>Peripherals</v>
      </c>
      <c r="I38" s="11">
        <f>'Raw Data'!E38</f>
        <v>4</v>
      </c>
      <c r="J38" s="13">
        <f>'Raw Data'!F38</f>
        <v>73740</v>
      </c>
      <c r="K38" s="17">
        <f>Table1[[#This Row],[Unit Price]]*Table1[[#This Row],[Units Sold]]</f>
        <v>294960</v>
      </c>
      <c r="L38" s="10" t="str">
        <f>UPPER(TRIM(CLEAN(SUBSTITUTE(SUBSTITUTE(SUBSTITUTE('Raw Data'!G38,",",""),".","")," ",""))))</f>
        <v>MARYJOHN</v>
      </c>
      <c r="M38" s="16" t="str" cm="1">
        <f t="array" ref="M38">_xlfn.IFS(LEFT(SUBSTITUTE('Raw Data'!H38," ",""),1)="M", "Musa Enterprrises",LEFT(SUBSTITUTE('Raw Data'!H38," ",""),1)="o", "Omega Wholesale",LEFT(SUBSTITUTE('Raw Data'!H38," ",""),4)="Tola", "Tola Ventures", LEFT(SUBSTITUTE('Raw Data'!H38," ",""),1)="T", "Tope &amp; Sons",LEFT(SUBSTITUTE('Raw Data'!H38," ",""),1)="z","Zainab Global",LEFT(SUBSTITUTE('Raw Data'!H38," ",""),2)="Ma","Maryam Ltd",LEFT(SUBSTITUTE('Raw Data'!H38," ",""),1)="j","Jide Superstores",LEFT(SUBSTITUTE('Raw Data'!H38," ",""),1)="f","Femi Tech",LEFT(SUBSTITUTE('Raw Data'!H38," ",""),1)="k","Kelvin Tech",LEFT(SUBSTITUTE('Raw Data'!H38," ",""),1)="A","Adewale Stores",LEFT(SUBSTITUTE('Raw Data'!H38," ",""),2)="Al","Alpha Retailers",LEFT(SUBSTITUTE('Raw Data'!H38," ",""),1)="b","Bright Solutions",LEFT(SUBSTITUTE('Raw Data'!H38," ",""),1)="c","Chika Mart",LEFT(SUBSTITUTE('Raw Data'!H38," ",""),1)="e","Emeka Traders")</f>
        <v>Tope &amp; Sons</v>
      </c>
    </row>
    <row r="39" spans="1:13" x14ac:dyDescent="0.25">
      <c r="A39" s="20" t="str">
        <f>UPPER(SUBSTITUTE(SUBSTITUTE(SUBSTITUTE(CLEAN('Raw Data'!A39),"-","")," ",""),".",""))</f>
        <v>07MAR2025</v>
      </c>
      <c r="B39" s="20" t="str">
        <f>LEFT(Table1[[#This Row],[Raw Date]],2)</f>
        <v>07</v>
      </c>
      <c r="C39" s="20" t="str">
        <f>SUBSTITUTE(SUBSTITUTE(SUBSTITUTE(MID(Table1[[#This Row],[Raw Date]],3,3),"AMR","MAR"),"JNA","JAN"),"PAR","APR")</f>
        <v>MAR</v>
      </c>
      <c r="D39" s="30">
        <f>IF(YEAR(RIGHT(Table1[[#This Row],[Raw Date]],4))&lt;&gt;2025,2025,0)</f>
        <v>2025</v>
      </c>
      <c r="E39" s="20" t="str">
        <f t="shared" si="1"/>
        <v>07-MAR-2025</v>
      </c>
      <c r="F39" s="10" t="str" cm="1">
        <f t="array" ref="F39">_xlfn.IFS(LEFT(SUBSTITUTE('Raw Data'!B39," ",""),1)="s", "South", LEFT(SUBSTITUTE('Raw Data'!B39," ",""),1)="n", "North",LEFT(SUBSTITUTE('Raw Data'!B39," ",""),1)="e","East",LEFT(SUBSTITUTE('Raw Data'!B39," ",""),1)="w","West")</f>
        <v>East</v>
      </c>
      <c r="G39" s="10" t="str">
        <f>PROPER(CLEAN(SUBSTITUTE(SUBSTITUTE(SUBSTITUTE('Raw Data'!C39," ",""),",",""),".","")))</f>
        <v>Camerac100</v>
      </c>
      <c r="H39" s="12" t="str" cm="1">
        <f t="array" ref="H39">_xlfn.IFS(LEFT(SUBSTITUTE('Raw Data'!D39," ",""),2)="pe", "Peripherals",LEFT(SUBSTITUTE('Raw Data'!D39," ",""),2)="au", "Audio",LEFT(SUBSTITUTE('Raw Data'!D39," ",""),2)="co", "Computers", LEFT(SUBSTITUTE('Raw Data'!D39," ",""),1)="e", "Electronics",LEFT(SUBSTITUTE('Raw Data'!D39," ",""),2)="mo","Mobile",LEFT(SUBSTITUTE('Raw Data'!D39," ",""),2)="ph","Photography")</f>
        <v>Photography</v>
      </c>
      <c r="I39" s="11">
        <f>'Raw Data'!E39</f>
        <v>18</v>
      </c>
      <c r="J39" s="13">
        <f>'Raw Data'!F39</f>
        <v>175000</v>
      </c>
      <c r="K39" s="17">
        <f>Table1[[#This Row],[Unit Price]]*Table1[[#This Row],[Units Sold]]</f>
        <v>3150000</v>
      </c>
      <c r="L39" s="10" t="str">
        <f>UPPER(TRIM(CLEAN(SUBSTITUTE(SUBSTITUTE(SUBSTITUTE('Raw Data'!G39,",",""),".","")," ",""))))</f>
        <v>GRACEAMOS</v>
      </c>
      <c r="M39" s="16" t="str" cm="1">
        <f t="array" ref="M39">_xlfn.IFS(LEFT(SUBSTITUTE('Raw Data'!H39," ",""),1)="M", "Musa Enterprrises",LEFT(SUBSTITUTE('Raw Data'!H39," ",""),1)="o", "Omega Wholesale",LEFT(SUBSTITUTE('Raw Data'!H39," ",""),4)="Tola", "Tola Ventures", LEFT(SUBSTITUTE('Raw Data'!H39," ",""),1)="T", "Tope &amp; Sons",LEFT(SUBSTITUTE('Raw Data'!H39," ",""),1)="z","Zainab Global",LEFT(SUBSTITUTE('Raw Data'!H39," ",""),2)="Ma","Maryam Ltd",LEFT(SUBSTITUTE('Raw Data'!H39," ",""),1)="j","Jide Superstores",LEFT(SUBSTITUTE('Raw Data'!H39," ",""),1)="f","Femi Tech",LEFT(SUBSTITUTE('Raw Data'!H39," ",""),1)="k","Kelvin Tech",LEFT(SUBSTITUTE('Raw Data'!H39," ",""),1)="A","Adewale Stores",LEFT(SUBSTITUTE('Raw Data'!H39," ",""),2)="Al","Alpha Retailers",LEFT(SUBSTITUTE('Raw Data'!H39," ",""),1)="b","Bright Solutions",LEFT(SUBSTITUTE('Raw Data'!H39," ",""),1)="c","Chika Mart",LEFT(SUBSTITUTE('Raw Data'!H39," ",""),1)="e","Emeka Traders")</f>
        <v>Bright Solutions</v>
      </c>
    </row>
    <row r="40" spans="1:13" x14ac:dyDescent="0.25">
      <c r="A40" s="20" t="str">
        <f>UPPER(SUBSTITUTE(SUBSTITUTE(SUBSTITUTE(CLEAN('Raw Data'!A40),"-","")," ",""),".",""))</f>
        <v>07MAY2025</v>
      </c>
      <c r="B40" s="20" t="str">
        <f>LEFT(Table1[[#This Row],[Raw Date]],2)</f>
        <v>07</v>
      </c>
      <c r="C40" s="20" t="str">
        <f>SUBSTITUTE(SUBSTITUTE(SUBSTITUTE(MID(Table1[[#This Row],[Raw Date]],3,3),"AMR","MAR"),"JNA","JAN"),"PAR","APR")</f>
        <v>MAY</v>
      </c>
      <c r="D40" s="30">
        <f>IF(YEAR(RIGHT(Table1[[#This Row],[Raw Date]],4))&lt;&gt;2025,2025,0)</f>
        <v>2025</v>
      </c>
      <c r="E40" s="20" t="str">
        <f t="shared" si="1"/>
        <v>07-MAY-2025</v>
      </c>
      <c r="F40" s="10" t="str" cm="1">
        <f t="array" ref="F40">_xlfn.IFS(LEFT(SUBSTITUTE('Raw Data'!B40," ",""),1)="s", "South", LEFT(SUBSTITUTE('Raw Data'!B40," ",""),1)="n", "North",LEFT(SUBSTITUTE('Raw Data'!B40," ",""),1)="e","East",LEFT(SUBSTITUTE('Raw Data'!B40," ",""),1)="w","West")</f>
        <v>North</v>
      </c>
      <c r="G40" s="10" t="str">
        <f>PROPER(CLEAN(SUBSTITUTE(SUBSTITUTE(SUBSTITUTE('Raw Data'!C40," ",""),",",""),".","")))</f>
        <v>Phonex12</v>
      </c>
      <c r="H40" s="12" t="str" cm="1">
        <f t="array" ref="H40">_xlfn.IFS(LEFT(SUBSTITUTE('Raw Data'!D40," ",""),2)="pe", "Peripherals",LEFT(SUBSTITUTE('Raw Data'!D40," ",""),2)="au", "Audio",LEFT(SUBSTITUTE('Raw Data'!D40," ",""),2)="co", "Computers", LEFT(SUBSTITUTE('Raw Data'!D40," ",""),1)="e", "Electronics",LEFT(SUBSTITUTE('Raw Data'!D40," ",""),2)="mo","Mobile",LEFT(SUBSTITUTE('Raw Data'!D40," ",""),2)="ph","Photography")</f>
        <v>Mobile</v>
      </c>
      <c r="I40" s="11">
        <f>'Raw Data'!E40</f>
        <v>10</v>
      </c>
      <c r="J40" s="13">
        <f>'Raw Data'!F40</f>
        <v>180000</v>
      </c>
      <c r="K40" s="17">
        <f>Table1[[#This Row],[Unit Price]]*Table1[[#This Row],[Units Sold]]</f>
        <v>1800000</v>
      </c>
      <c r="L40" s="10" t="str">
        <f>UPPER(TRIM(CLEAN(SUBSTITUTE(SUBSTITUTE(SUBSTITUTE('Raw Data'!G40,",",""),".","")," ",""))))</f>
        <v>MARYJOHN</v>
      </c>
      <c r="M40" s="16" t="str" cm="1">
        <f t="array" ref="M40">_xlfn.IFS(LEFT(SUBSTITUTE('Raw Data'!H40," ",""),1)="M", "Musa Enterprrises",LEFT(SUBSTITUTE('Raw Data'!H40," ",""),1)="o", "Omega Wholesale",LEFT(SUBSTITUTE('Raw Data'!H40," ",""),4)="Tola", "Tola Ventures", LEFT(SUBSTITUTE('Raw Data'!H40," ",""),1)="T", "Tope &amp; Sons",LEFT(SUBSTITUTE('Raw Data'!H40," ",""),1)="z","Zainab Global",LEFT(SUBSTITUTE('Raw Data'!H40," ",""),2)="Ma","Maryam Ltd",LEFT(SUBSTITUTE('Raw Data'!H40," ",""),1)="j","Jide Superstores",LEFT(SUBSTITUTE('Raw Data'!H40," ",""),1)="f","Femi Tech",LEFT(SUBSTITUTE('Raw Data'!H40," ",""),1)="k","Kelvin Tech",LEFT(SUBSTITUTE('Raw Data'!H40," ",""),1)="A","Adewale Stores",LEFT(SUBSTITUTE('Raw Data'!H40," ",""),2)="Al","Alpha Retailers",LEFT(SUBSTITUTE('Raw Data'!H40," ",""),1)="b","Bright Solutions",LEFT(SUBSTITUTE('Raw Data'!H40," ",""),1)="c","Chika Mart",LEFT(SUBSTITUTE('Raw Data'!H40," ",""),1)="e","Emeka Traders")</f>
        <v>Chika Mart</v>
      </c>
    </row>
    <row r="41" spans="1:13" x14ac:dyDescent="0.25">
      <c r="A41" s="20" t="str">
        <f>UPPER(SUBSTITUTE(SUBSTITUTE(SUBSTITUTE(CLEAN('Raw Data'!A41),"-","")," ",""),".",""))</f>
        <v>30JUN2025</v>
      </c>
      <c r="B41" s="20" t="str">
        <f>LEFT(Table1[[#This Row],[Raw Date]],2)</f>
        <v>30</v>
      </c>
      <c r="C41" s="20" t="str">
        <f>SUBSTITUTE(SUBSTITUTE(SUBSTITUTE(MID(Table1[[#This Row],[Raw Date]],3,3),"AMR","MAR"),"JNA","JAN"),"PAR","APR")</f>
        <v>JUN</v>
      </c>
      <c r="D41" s="30">
        <f>IF(YEAR(RIGHT(Table1[[#This Row],[Raw Date]],4))&lt;&gt;2025,2025,0)</f>
        <v>2025</v>
      </c>
      <c r="E41" s="20" t="str">
        <f t="shared" si="1"/>
        <v>30-JUN-2025</v>
      </c>
      <c r="F41" s="10" t="str" cm="1">
        <f t="array" ref="F41">_xlfn.IFS(LEFT(SUBSTITUTE('Raw Data'!B41," ",""),1)="s", "South", LEFT(SUBSTITUTE('Raw Data'!B41," ",""),1)="n", "North",LEFT(SUBSTITUTE('Raw Data'!B41," ",""),1)="e","East",LEFT(SUBSTITUTE('Raw Data'!B41," ",""),1)="w","West")</f>
        <v>East</v>
      </c>
      <c r="G41" s="10" t="str">
        <f>PROPER(CLEAN(SUBSTITUTE(SUBSTITUTE(SUBSTITUTE('Raw Data'!C41," ",""),",",""),".","")))</f>
        <v>Unknown</v>
      </c>
      <c r="H41" s="12" t="str" cm="1">
        <f t="array" ref="H41">_xlfn.IFS(LEFT(SUBSTITUTE('Raw Data'!D41," ",""),2)="pe", "Peripherals",LEFT(SUBSTITUTE('Raw Data'!D41," ",""),2)="au", "Audio",LEFT(SUBSTITUTE('Raw Data'!D41," ",""),2)="co", "Computers", LEFT(SUBSTITUTE('Raw Data'!D41," ",""),1)="e", "Electronics",LEFT(SUBSTITUTE('Raw Data'!D41," ",""),2)="mo","Mobile",LEFT(SUBSTITUTE('Raw Data'!D41," ",""),2)="ph","Photography")</f>
        <v>Peripherals</v>
      </c>
      <c r="I41" s="11">
        <f>'Raw Data'!E41</f>
        <v>10</v>
      </c>
      <c r="J41" s="13">
        <f>'Raw Data'!F41</f>
        <v>65000</v>
      </c>
      <c r="K41" s="17">
        <f>Table1[[#This Row],[Unit Price]]*Table1[[#This Row],[Units Sold]]</f>
        <v>650000</v>
      </c>
      <c r="L41" s="10" t="str">
        <f>UPPER(TRIM(CLEAN(SUBSTITUTE(SUBSTITUTE(SUBSTITUTE('Raw Data'!G41,",",""),".","")," ",""))))</f>
        <v>ABAJOEL</v>
      </c>
      <c r="M41" s="16" t="str" cm="1">
        <f t="array" ref="M41">_xlfn.IFS(LEFT(SUBSTITUTE('Raw Data'!H41," ",""),1)="M", "Musa Enterprrises",LEFT(SUBSTITUTE('Raw Data'!H41," ",""),1)="o", "Omega Wholesale",LEFT(SUBSTITUTE('Raw Data'!H41," ",""),4)="Tola", "Tola Ventures", LEFT(SUBSTITUTE('Raw Data'!H41," ",""),1)="T", "Tope &amp; Sons",LEFT(SUBSTITUTE('Raw Data'!H41," ",""),1)="z","Zainab Global",LEFT(SUBSTITUTE('Raw Data'!H41," ",""),2)="Ma","Maryam Ltd",LEFT(SUBSTITUTE('Raw Data'!H41," ",""),1)="j","Jide Superstores",LEFT(SUBSTITUTE('Raw Data'!H41," ",""),1)="f","Femi Tech",LEFT(SUBSTITUTE('Raw Data'!H41," ",""),1)="k","Kelvin Tech",LEFT(SUBSTITUTE('Raw Data'!H41," ",""),1)="A","Adewale Stores",LEFT(SUBSTITUTE('Raw Data'!H41," ",""),2)="Al","Alpha Retailers",LEFT(SUBSTITUTE('Raw Data'!H41," ",""),1)="b","Bright Solutions",LEFT(SUBSTITUTE('Raw Data'!H41," ",""),1)="c","Chika Mart",LEFT(SUBSTITUTE('Raw Data'!H41," ",""),1)="e","Emeka Traders")</f>
        <v>Musa Enterprrises</v>
      </c>
    </row>
    <row r="42" spans="1:13" x14ac:dyDescent="0.25">
      <c r="A42" s="20" t="str">
        <f>UPPER(SUBSTITUTE(SUBSTITUTE(SUBSTITUTE(CLEAN('Raw Data'!A42),"-","")," ",""),".",""))</f>
        <v>25FEB2025</v>
      </c>
      <c r="B42" s="20" t="str">
        <f>LEFT(Table1[[#This Row],[Raw Date]],2)</f>
        <v>25</v>
      </c>
      <c r="C42" s="20" t="str">
        <f>SUBSTITUTE(SUBSTITUTE(SUBSTITUTE(MID(Table1[[#This Row],[Raw Date]],3,3),"AMR","MAR"),"JNA","JAN"),"PAR","APR")</f>
        <v>FEB</v>
      </c>
      <c r="D42" s="30">
        <f>IF(YEAR(RIGHT(Table1[[#This Row],[Raw Date]],4))&lt;&gt;2025,2025,0)</f>
        <v>2025</v>
      </c>
      <c r="E42" s="20" t="str">
        <f t="shared" si="1"/>
        <v>25-FEB-2025</v>
      </c>
      <c r="F42" s="10" t="str" cm="1">
        <f t="array" ref="F42">_xlfn.IFS(LEFT(SUBSTITUTE('Raw Data'!B42," ",""),1)="s", "South", LEFT(SUBSTITUTE('Raw Data'!B42," ",""),1)="n", "North",LEFT(SUBSTITUTE('Raw Data'!B42," ",""),1)="e","East",LEFT(SUBSTITUTE('Raw Data'!B42," ",""),1)="w","West")</f>
        <v>North</v>
      </c>
      <c r="G42" s="10" t="str">
        <f>PROPER(CLEAN(SUBSTITUTE(SUBSTITUTE(SUBSTITUTE('Raw Data'!C42," ",""),",",""),".","")))</f>
        <v>Tablett8</v>
      </c>
      <c r="H42" s="12" t="str" cm="1">
        <f t="array" ref="H42">_xlfn.IFS(LEFT(SUBSTITUTE('Raw Data'!D42," ",""),2)="pe", "Peripherals",LEFT(SUBSTITUTE('Raw Data'!D42," ",""),2)="au", "Audio",LEFT(SUBSTITUTE('Raw Data'!D42," ",""),2)="co", "Computers", LEFT(SUBSTITUTE('Raw Data'!D42," ",""),1)="e", "Electronics",LEFT(SUBSTITUTE('Raw Data'!D42," ",""),2)="mo","Mobile",LEFT(SUBSTITUTE('Raw Data'!D42," ",""),2)="ph","Photography")</f>
        <v>Mobile</v>
      </c>
      <c r="I42" s="11">
        <f>'Raw Data'!E42</f>
        <v>3</v>
      </c>
      <c r="J42" s="13">
        <f>'Raw Data'!F42</f>
        <v>150000</v>
      </c>
      <c r="K42" s="17">
        <f>Table1[[#This Row],[Unit Price]]*Table1[[#This Row],[Units Sold]]</f>
        <v>450000</v>
      </c>
      <c r="L42" s="10" t="str">
        <f>UPPER(TRIM(CLEAN(SUBSTITUTE(SUBSTITUTE(SUBSTITUTE('Raw Data'!G42,",",""),".","")," ",""))))</f>
        <v>MARYJOHN</v>
      </c>
      <c r="M42" s="16" t="str" cm="1">
        <f t="array" ref="M42">_xlfn.IFS(LEFT(SUBSTITUTE('Raw Data'!H42," ",""),1)="M", "Musa Enterprrises",LEFT(SUBSTITUTE('Raw Data'!H42," ",""),1)="o", "Omega Wholesale",LEFT(SUBSTITUTE('Raw Data'!H42," ",""),4)="Tola", "Tola Ventures", LEFT(SUBSTITUTE('Raw Data'!H42," ",""),1)="T", "Tope &amp; Sons",LEFT(SUBSTITUTE('Raw Data'!H42," ",""),1)="z","Zainab Global",LEFT(SUBSTITUTE('Raw Data'!H42," ",""),2)="Ma","Maryam Ltd",LEFT(SUBSTITUTE('Raw Data'!H42," ",""),1)="j","Jide Superstores",LEFT(SUBSTITUTE('Raw Data'!H42," ",""),1)="f","Femi Tech",LEFT(SUBSTITUTE('Raw Data'!H42," ",""),1)="k","Kelvin Tech",LEFT(SUBSTITUTE('Raw Data'!H42," ",""),1)="A","Adewale Stores",LEFT(SUBSTITUTE('Raw Data'!H42," ",""),2)="Al","Alpha Retailers",LEFT(SUBSTITUTE('Raw Data'!H42," ",""),1)="b","Bright Solutions",LEFT(SUBSTITUTE('Raw Data'!H42," ",""),1)="c","Chika Mart",LEFT(SUBSTITUTE('Raw Data'!H42," ",""),1)="e","Emeka Traders")</f>
        <v>Tope &amp; Sons</v>
      </c>
    </row>
    <row r="43" spans="1:13" x14ac:dyDescent="0.25">
      <c r="A43" s="20" t="str">
        <f>UPPER(SUBSTITUTE(SUBSTITUTE(SUBSTITUTE(CLEAN('Raw Data'!A43),"-","")," ",""),".",""))</f>
        <v>13JAN2025</v>
      </c>
      <c r="B43" s="20" t="str">
        <f>LEFT(Table1[[#This Row],[Raw Date]],2)</f>
        <v>13</v>
      </c>
      <c r="C43" s="20" t="str">
        <f>SUBSTITUTE(SUBSTITUTE(SUBSTITUTE(MID(Table1[[#This Row],[Raw Date]],3,3),"AMR","MAR"),"JNA","JAN"),"PAR","APR")</f>
        <v>JAN</v>
      </c>
      <c r="D43" s="30">
        <f>IF(YEAR(RIGHT(Table1[[#This Row],[Raw Date]],4))&lt;&gt;2025,2025,0)</f>
        <v>2025</v>
      </c>
      <c r="E43" s="20" t="str">
        <f t="shared" si="1"/>
        <v>13-JAN-2025</v>
      </c>
      <c r="F43" s="10" t="str" cm="1">
        <f t="array" ref="F43">_xlfn.IFS(LEFT(SUBSTITUTE('Raw Data'!B43," ",""),1)="s", "South", LEFT(SUBSTITUTE('Raw Data'!B43," ",""),1)="n", "North",LEFT(SUBSTITUTE('Raw Data'!B43," ",""),1)="e","East",LEFT(SUBSTITUTE('Raw Data'!B43," ",""),1)="w","West")</f>
        <v>South</v>
      </c>
      <c r="G43" s="10" t="str">
        <f>PROPER(CLEAN(SUBSTITUTE(SUBSTITUTE(SUBSTITUTE('Raw Data'!C43," ",""),",",""),".","")))</f>
        <v>Phonex12</v>
      </c>
      <c r="H43" s="12" t="str" cm="1">
        <f t="array" ref="H43">_xlfn.IFS(LEFT(SUBSTITUTE('Raw Data'!D43," ",""),2)="pe", "Peripherals",LEFT(SUBSTITUTE('Raw Data'!D43," ",""),2)="au", "Audio",LEFT(SUBSTITUTE('Raw Data'!D43," ",""),2)="co", "Computers", LEFT(SUBSTITUTE('Raw Data'!D43," ",""),1)="e", "Electronics",LEFT(SUBSTITUTE('Raw Data'!D43," ",""),2)="mo","Mobile",LEFT(SUBSTITUTE('Raw Data'!D43," ",""),2)="ph","Photography")</f>
        <v>Mobile</v>
      </c>
      <c r="I43" s="11">
        <f>'Raw Data'!E43</f>
        <v>8</v>
      </c>
      <c r="J43" s="13">
        <f>'Raw Data'!F43</f>
        <v>180000</v>
      </c>
      <c r="K43" s="17">
        <f>Table1[[#This Row],[Unit Price]]*Table1[[#This Row],[Units Sold]]</f>
        <v>1440000</v>
      </c>
      <c r="L43" s="10" t="str">
        <f>UPPER(TRIM(CLEAN(SUBSTITUTE(SUBSTITUTE(SUBSTITUTE('Raw Data'!G43,",",""),".","")," ",""))))</f>
        <v>AISHABELLO</v>
      </c>
      <c r="M43" s="16" t="str" cm="1">
        <f t="array" ref="M43">_xlfn.IFS(LEFT(SUBSTITUTE('Raw Data'!H43," ",""),1)="M", "Musa Enterprrises",LEFT(SUBSTITUTE('Raw Data'!H43," ",""),1)="o", "Omega Wholesale",LEFT(SUBSTITUTE('Raw Data'!H43," ",""),4)="Tola", "Tola Ventures", LEFT(SUBSTITUTE('Raw Data'!H43," ",""),1)="T", "Tope &amp; Sons",LEFT(SUBSTITUTE('Raw Data'!H43," ",""),1)="z","Zainab Global",LEFT(SUBSTITUTE('Raw Data'!H43," ",""),2)="Ma","Maryam Ltd",LEFT(SUBSTITUTE('Raw Data'!H43," ",""),1)="j","Jide Superstores",LEFT(SUBSTITUTE('Raw Data'!H43," ",""),1)="f","Femi Tech",LEFT(SUBSTITUTE('Raw Data'!H43," ",""),1)="k","Kelvin Tech",LEFT(SUBSTITUTE('Raw Data'!H43," ",""),1)="A","Adewale Stores",LEFT(SUBSTITUTE('Raw Data'!H43," ",""),2)="Al","Alpha Retailers",LEFT(SUBSTITUTE('Raw Data'!H43," ",""),1)="b","Bright Solutions",LEFT(SUBSTITUTE('Raw Data'!H43," ",""),1)="c","Chika Mart",LEFT(SUBSTITUTE('Raw Data'!H43," ",""),1)="e","Emeka Traders")</f>
        <v>Omega Wholesale</v>
      </c>
    </row>
    <row r="44" spans="1:13" x14ac:dyDescent="0.25">
      <c r="A44" s="20" t="str">
        <f>UPPER(SUBSTITUTE(SUBSTITUTE(SUBSTITUTE(CLEAN('Raw Data'!A44),"-","")," ",""),".",""))</f>
        <v>15JUN2025</v>
      </c>
      <c r="B44" s="20" t="str">
        <f>LEFT(Table1[[#This Row],[Raw Date]],2)</f>
        <v>15</v>
      </c>
      <c r="C44" s="20" t="str">
        <f>SUBSTITUTE(SUBSTITUTE(SUBSTITUTE(MID(Table1[[#This Row],[Raw Date]],3,3),"AMR","MAR"),"JNA","JAN"),"PAR","APR")</f>
        <v>JUN</v>
      </c>
      <c r="D44" s="30">
        <f>IF(YEAR(RIGHT(Table1[[#This Row],[Raw Date]],4))&lt;&gt;2025,2025,0)</f>
        <v>2025</v>
      </c>
      <c r="E44" s="20" t="str">
        <f t="shared" si="1"/>
        <v>15-JUN-2025</v>
      </c>
      <c r="F44" s="10" t="str" cm="1">
        <f t="array" ref="F44">_xlfn.IFS(LEFT(SUBSTITUTE('Raw Data'!B44," ",""),1)="s", "South", LEFT(SUBSTITUTE('Raw Data'!B44," ",""),1)="n", "North",LEFT(SUBSTITUTE('Raw Data'!B44," ",""),1)="e","East",LEFT(SUBSTITUTE('Raw Data'!B44," ",""),1)="w","West")</f>
        <v>South</v>
      </c>
      <c r="G44" s="10" t="str">
        <f>PROPER(CLEAN(SUBSTITUTE(SUBSTITUTE(SUBSTITUTE('Raw Data'!C44," ",""),",",""),".","")))</f>
        <v>Laptopa15</v>
      </c>
      <c r="H44" s="12" t="str" cm="1">
        <f t="array" ref="H44">_xlfn.IFS(LEFT(SUBSTITUTE('Raw Data'!D44," ",""),2)="pe", "Peripherals",LEFT(SUBSTITUTE('Raw Data'!D44," ",""),2)="au", "Audio",LEFT(SUBSTITUTE('Raw Data'!D44," ",""),2)="co", "Computers", LEFT(SUBSTITUTE('Raw Data'!D44," ",""),1)="e", "Electronics",LEFT(SUBSTITUTE('Raw Data'!D44," ",""),2)="mo","Mobile",LEFT(SUBSTITUTE('Raw Data'!D44," ",""),2)="ph","Photography")</f>
        <v>Computers</v>
      </c>
      <c r="I44" s="11">
        <f>'Raw Data'!E44</f>
        <v>3</v>
      </c>
      <c r="J44" s="13">
        <f>'Raw Data'!F44</f>
        <v>250000</v>
      </c>
      <c r="K44" s="17">
        <f>Table1[[#This Row],[Unit Price]]*Table1[[#This Row],[Units Sold]]</f>
        <v>750000</v>
      </c>
      <c r="L44" s="10" t="str">
        <f>UPPER(TRIM(CLEAN(SUBSTITUTE(SUBSTITUTE(SUBSTITUTE('Raw Data'!G44,",",""),".","")," ",""))))</f>
        <v>MARYJOHN</v>
      </c>
      <c r="M44" s="16" t="str" cm="1">
        <f t="array" ref="M44">_xlfn.IFS(LEFT(SUBSTITUTE('Raw Data'!H44," ",""),1)="M", "Musa Enterprrises",LEFT(SUBSTITUTE('Raw Data'!H44," ",""),1)="o", "Omega Wholesale",LEFT(SUBSTITUTE('Raw Data'!H44," ",""),4)="Tola", "Tola Ventures", LEFT(SUBSTITUTE('Raw Data'!H44," ",""),1)="T", "Tope &amp; Sons",LEFT(SUBSTITUTE('Raw Data'!H44," ",""),1)="z","Zainab Global",LEFT(SUBSTITUTE('Raw Data'!H44," ",""),2)="Ma","Maryam Ltd",LEFT(SUBSTITUTE('Raw Data'!H44," ",""),1)="j","Jide Superstores",LEFT(SUBSTITUTE('Raw Data'!H44," ",""),1)="f","Femi Tech",LEFT(SUBSTITUTE('Raw Data'!H44," ",""),1)="k","Kelvin Tech",LEFT(SUBSTITUTE('Raw Data'!H44," ",""),1)="A","Adewale Stores",LEFT(SUBSTITUTE('Raw Data'!H44," ",""),2)="Al","Alpha Retailers",LEFT(SUBSTITUTE('Raw Data'!H44," ",""),1)="b","Bright Solutions",LEFT(SUBSTITUTE('Raw Data'!H44," ",""),1)="c","Chika Mart",LEFT(SUBSTITUTE('Raw Data'!H44," ",""),1)="e","Emeka Traders")</f>
        <v>Chika Mart</v>
      </c>
    </row>
    <row r="45" spans="1:13" x14ac:dyDescent="0.25">
      <c r="A45" s="20" t="str">
        <f>UPPER(SUBSTITUTE(SUBSTITUTE(SUBSTITUTE(CLEAN('Raw Data'!A45),"-","")," ",""),".",""))</f>
        <v>28FEB2025</v>
      </c>
      <c r="B45" s="20" t="str">
        <f>LEFT(Table1[[#This Row],[Raw Date]],2)</f>
        <v>28</v>
      </c>
      <c r="C45" s="20" t="str">
        <f>SUBSTITUTE(SUBSTITUTE(SUBSTITUTE(MID(Table1[[#This Row],[Raw Date]],3,3),"AMR","MAR"),"JNA","JAN"),"PAR","APR")</f>
        <v>FEB</v>
      </c>
      <c r="D45" s="30">
        <f>IF(YEAR(RIGHT(Table1[[#This Row],[Raw Date]],4))&lt;&gt;2025,2025,0)</f>
        <v>2025</v>
      </c>
      <c r="E45" s="20" t="str">
        <f t="shared" si="1"/>
        <v>28-FEB-2025</v>
      </c>
      <c r="F45" s="10" t="str" cm="1">
        <f t="array" ref="F45">_xlfn.IFS(LEFT(SUBSTITUTE('Raw Data'!B45," ",""),1)="s", "South", LEFT(SUBSTITUTE('Raw Data'!B45," ",""),1)="n", "North",LEFT(SUBSTITUTE('Raw Data'!B45," ",""),1)="e","East",LEFT(SUBSTITUTE('Raw Data'!B45," ",""),1)="w","West")</f>
        <v>East</v>
      </c>
      <c r="G45" s="10" t="str">
        <f>PROPER(CLEAN(SUBSTITUTE(SUBSTITUTE(SUBSTITUTE('Raw Data'!C45," ",""),",",""),".","")))</f>
        <v>Speakers10</v>
      </c>
      <c r="H45" s="12" t="str" cm="1">
        <f t="array" ref="H45">_xlfn.IFS(LEFT(SUBSTITUTE('Raw Data'!D45," ",""),2)="pe", "Peripherals",LEFT(SUBSTITUTE('Raw Data'!D45," ",""),2)="au", "Audio",LEFT(SUBSTITUTE('Raw Data'!D45," ",""),2)="co", "Computers", LEFT(SUBSTITUTE('Raw Data'!D45," ",""),1)="e", "Electronics",LEFT(SUBSTITUTE('Raw Data'!D45," ",""),2)="mo","Mobile",LEFT(SUBSTITUTE('Raw Data'!D45," ",""),2)="ph","Photography")</f>
        <v>Audio</v>
      </c>
      <c r="I45" s="11">
        <f>'Raw Data'!E45</f>
        <v>18</v>
      </c>
      <c r="J45" s="13">
        <f>'Raw Data'!F45</f>
        <v>85000</v>
      </c>
      <c r="K45" s="17">
        <f>Table1[[#This Row],[Unit Price]]*Table1[[#This Row],[Units Sold]]</f>
        <v>1530000</v>
      </c>
      <c r="L45" s="10" t="str">
        <f>UPPER(TRIM(CLEAN(SUBSTITUTE(SUBSTITUTE(SUBSTITUTE('Raw Data'!G45,",",""),".","")," ",""))))</f>
        <v>IFEANYIOKAFOR</v>
      </c>
      <c r="M45" s="16" t="str" cm="1">
        <f t="array" ref="M45">_xlfn.IFS(LEFT(SUBSTITUTE('Raw Data'!H45," ",""),1)="M", "Musa Enterprrises",LEFT(SUBSTITUTE('Raw Data'!H45," ",""),1)="o", "Omega Wholesale",LEFT(SUBSTITUTE('Raw Data'!H45," ",""),4)="Tola", "Tola Ventures", LEFT(SUBSTITUTE('Raw Data'!H45," ",""),1)="T", "Tope &amp; Sons",LEFT(SUBSTITUTE('Raw Data'!H45," ",""),1)="z","Zainab Global",LEFT(SUBSTITUTE('Raw Data'!H45," ",""),2)="Ma","Maryam Ltd",LEFT(SUBSTITUTE('Raw Data'!H45," ",""),1)="j","Jide Superstores",LEFT(SUBSTITUTE('Raw Data'!H45," ",""),1)="f","Femi Tech",LEFT(SUBSTITUTE('Raw Data'!H45," ",""),1)="k","Kelvin Tech",LEFT(SUBSTITUTE('Raw Data'!H45," ",""),1)="A","Adewale Stores",LEFT(SUBSTITUTE('Raw Data'!H45," ",""),2)="Al","Alpha Retailers",LEFT(SUBSTITUTE('Raw Data'!H45," ",""),1)="b","Bright Solutions",LEFT(SUBSTITUTE('Raw Data'!H45," ",""),1)="c","Chika Mart",LEFT(SUBSTITUTE('Raw Data'!H45," ",""),1)="e","Emeka Traders")</f>
        <v>Adewale Stores</v>
      </c>
    </row>
    <row r="46" spans="1:13" x14ac:dyDescent="0.25">
      <c r="A46" s="20" t="str">
        <f>UPPER(SUBSTITUTE(SUBSTITUTE(SUBSTITUTE(CLEAN('Raw Data'!A46),"-","")," ",""),".",""))</f>
        <v>19FEB2025</v>
      </c>
      <c r="B46" s="20" t="str">
        <f>LEFT(Table1[[#This Row],[Raw Date]],2)</f>
        <v>19</v>
      </c>
      <c r="C46" s="20" t="str">
        <f>SUBSTITUTE(SUBSTITUTE(SUBSTITUTE(MID(Table1[[#This Row],[Raw Date]],3,3),"AMR","MAR"),"JNA","JAN"),"PAR","APR")</f>
        <v>FEB</v>
      </c>
      <c r="D46" s="30">
        <f>IF(YEAR(RIGHT(Table1[[#This Row],[Raw Date]],4))&lt;&gt;2025,2025,0)</f>
        <v>2025</v>
      </c>
      <c r="E46" s="20" t="str">
        <f t="shared" si="1"/>
        <v>19-FEB-2025</v>
      </c>
      <c r="F46" s="10" t="str" cm="1">
        <f t="array" ref="F46">_xlfn.IFS(LEFT(SUBSTITUTE('Raw Data'!B46," ",""),1)="s", "South", LEFT(SUBSTITUTE('Raw Data'!B46," ",""),1)="n", "North",LEFT(SUBSTITUTE('Raw Data'!B46," ",""),1)="e","East",LEFT(SUBSTITUTE('Raw Data'!B46," ",""),1)="w","West")</f>
        <v>West</v>
      </c>
      <c r="G46" s="10" t="str">
        <f>PROPER(CLEAN(SUBSTITUTE(SUBSTITUTE(SUBSTITUTE('Raw Data'!C46," ",""),",",""),".","")))</f>
        <v>Tablett8</v>
      </c>
      <c r="H46" s="12" t="str" cm="1">
        <f t="array" ref="H46">_xlfn.IFS(LEFT(SUBSTITUTE('Raw Data'!D46," ",""),2)="pe", "Peripherals",LEFT(SUBSTITUTE('Raw Data'!D46," ",""),2)="au", "Audio",LEFT(SUBSTITUTE('Raw Data'!D46," ",""),2)="co", "Computers", LEFT(SUBSTITUTE('Raw Data'!D46," ",""),1)="e", "Electronics",LEFT(SUBSTITUTE('Raw Data'!D46," ",""),2)="mo","Mobile",LEFT(SUBSTITUTE('Raw Data'!D46," ",""),2)="ph","Photography")</f>
        <v>Mobile</v>
      </c>
      <c r="I46" s="11">
        <f>'Raw Data'!E46</f>
        <v>9</v>
      </c>
      <c r="J46" s="13">
        <f>'Raw Data'!F46</f>
        <v>150000</v>
      </c>
      <c r="K46" s="17">
        <f>Table1[[#This Row],[Unit Price]]*Table1[[#This Row],[Units Sold]]</f>
        <v>1350000</v>
      </c>
      <c r="L46" s="10" t="str">
        <f>UPPER(TRIM(CLEAN(SUBSTITUTE(SUBSTITUTE(SUBSTITUTE('Raw Data'!G46,",",""),".","")," ",""))))</f>
        <v>MARYJOHN</v>
      </c>
      <c r="M46" s="16" t="str" cm="1">
        <f t="array" ref="M46">_xlfn.IFS(LEFT(SUBSTITUTE('Raw Data'!H46," ",""),1)="M", "Musa Enterprrises",LEFT(SUBSTITUTE('Raw Data'!H46," ",""),1)="o", "Omega Wholesale",LEFT(SUBSTITUTE('Raw Data'!H46," ",""),4)="Tola", "Tola Ventures", LEFT(SUBSTITUTE('Raw Data'!H46," ",""),1)="T", "Tope &amp; Sons",LEFT(SUBSTITUTE('Raw Data'!H46," ",""),1)="z","Zainab Global",LEFT(SUBSTITUTE('Raw Data'!H46," ",""),2)="Ma","Maryam Ltd",LEFT(SUBSTITUTE('Raw Data'!H46," ",""),1)="j","Jide Superstores",LEFT(SUBSTITUTE('Raw Data'!H46," ",""),1)="f","Femi Tech",LEFT(SUBSTITUTE('Raw Data'!H46," ",""),1)="k","Kelvin Tech",LEFT(SUBSTITUTE('Raw Data'!H46," ",""),1)="A","Adewale Stores",LEFT(SUBSTITUTE('Raw Data'!H46," ",""),2)="Al","Alpha Retailers",LEFT(SUBSTITUTE('Raw Data'!H46," ",""),1)="b","Bright Solutions",LEFT(SUBSTITUTE('Raw Data'!H46," ",""),1)="c","Chika Mart",LEFT(SUBSTITUTE('Raw Data'!H46," ",""),1)="e","Emeka Traders")</f>
        <v>Kelvin Tech</v>
      </c>
    </row>
    <row r="47" spans="1:13" x14ac:dyDescent="0.25">
      <c r="A47" s="20" t="str">
        <f>UPPER(SUBSTITUTE(SUBSTITUTE(SUBSTITUTE(CLEAN('Raw Data'!A47),"-","")," ",""),".",""))</f>
        <v>03MAR2025</v>
      </c>
      <c r="B47" s="20" t="str">
        <f>LEFT(Table1[[#This Row],[Raw Date]],2)</f>
        <v>03</v>
      </c>
      <c r="C47" s="20" t="str">
        <f>SUBSTITUTE(SUBSTITUTE(SUBSTITUTE(MID(Table1[[#This Row],[Raw Date]],3,3),"AMR","MAR"),"JNA","JAN"),"PAR","APR")</f>
        <v>MAR</v>
      </c>
      <c r="D47" s="30">
        <f>IF(YEAR(RIGHT(Table1[[#This Row],[Raw Date]],4))&lt;&gt;2025,2025,0)</f>
        <v>2025</v>
      </c>
      <c r="E47" s="20" t="str">
        <f t="shared" si="1"/>
        <v>03-MAR-2025</v>
      </c>
      <c r="F47" s="10" t="str" cm="1">
        <f t="array" ref="F47">_xlfn.IFS(LEFT(SUBSTITUTE('Raw Data'!B47," ",""),1)="s", "South", LEFT(SUBSTITUTE('Raw Data'!B47," ",""),1)="n", "North",LEFT(SUBSTITUTE('Raw Data'!B47," ",""),1)="e","East",LEFT(SUBSTITUTE('Raw Data'!B47," ",""),1)="w","West")</f>
        <v>East</v>
      </c>
      <c r="G47" s="10" t="str">
        <f>PROPER(CLEAN(SUBSTITUTE(SUBSTITUTE(SUBSTITUTE('Raw Data'!C47," ",""),",",""),".","")))</f>
        <v>Tablett8</v>
      </c>
      <c r="H47" s="12" t="str" cm="1">
        <f t="array" ref="H47">_xlfn.IFS(LEFT(SUBSTITUTE('Raw Data'!D47," ",""),2)="pe", "Peripherals",LEFT(SUBSTITUTE('Raw Data'!D47," ",""),2)="au", "Audio",LEFT(SUBSTITUTE('Raw Data'!D47," ",""),2)="co", "Computers", LEFT(SUBSTITUTE('Raw Data'!D47," ",""),1)="e", "Electronics",LEFT(SUBSTITUTE('Raw Data'!D47," ",""),2)="mo","Mobile",LEFT(SUBSTITUTE('Raw Data'!D47," ",""),2)="ph","Photography")</f>
        <v>Mobile</v>
      </c>
      <c r="I47" s="11">
        <f>'Raw Data'!E47</f>
        <v>18</v>
      </c>
      <c r="J47" s="13">
        <f>'Raw Data'!F47</f>
        <v>150000</v>
      </c>
      <c r="K47" s="17">
        <f>Table1[[#This Row],[Unit Price]]*Table1[[#This Row],[Units Sold]]</f>
        <v>2700000</v>
      </c>
      <c r="L47" s="10" t="str">
        <f>UPPER(TRIM(CLEAN(SUBSTITUTE(SUBSTITUTE(SUBSTITUTE('Raw Data'!G47,",",""),".","")," ",""))))</f>
        <v>FOLABALOGUN</v>
      </c>
      <c r="M47" s="16" t="str" cm="1">
        <f t="array" ref="M47">_xlfn.IFS(LEFT(SUBSTITUTE('Raw Data'!H47," ",""),1)="M", "Musa Enterprrises",LEFT(SUBSTITUTE('Raw Data'!H47," ",""),1)="o", "Omega Wholesale",LEFT(SUBSTITUTE('Raw Data'!H47," ",""),4)="Tola", "Tola Ventures", LEFT(SUBSTITUTE('Raw Data'!H47," ",""),1)="T", "Tope &amp; Sons",LEFT(SUBSTITUTE('Raw Data'!H47," ",""),1)="z","Zainab Global",LEFT(SUBSTITUTE('Raw Data'!H47," ",""),2)="Ma","Maryam Ltd",LEFT(SUBSTITUTE('Raw Data'!H47," ",""),1)="j","Jide Superstores",LEFT(SUBSTITUTE('Raw Data'!H47," ",""),1)="f","Femi Tech",LEFT(SUBSTITUTE('Raw Data'!H47," ",""),1)="k","Kelvin Tech",LEFT(SUBSTITUTE('Raw Data'!H47," ",""),1)="A","Adewale Stores",LEFT(SUBSTITUTE('Raw Data'!H47," ",""),2)="Al","Alpha Retailers",LEFT(SUBSTITUTE('Raw Data'!H47," ",""),1)="b","Bright Solutions",LEFT(SUBSTITUTE('Raw Data'!H47," ",""),1)="c","Chika Mart",LEFT(SUBSTITUTE('Raw Data'!H47," ",""),1)="e","Emeka Traders")</f>
        <v>Adewale Stores</v>
      </c>
    </row>
    <row r="48" spans="1:13" x14ac:dyDescent="0.25">
      <c r="A48" s="20" t="str">
        <f>UPPER(SUBSTITUTE(SUBSTITUTE(SUBSTITUTE(CLEAN('Raw Data'!A48),"-","")," ",""),".",""))</f>
        <v>01APR2025</v>
      </c>
      <c r="B48" s="20" t="str">
        <f>LEFT(Table1[[#This Row],[Raw Date]],2)</f>
        <v>01</v>
      </c>
      <c r="C48" s="20" t="str">
        <f>SUBSTITUTE(SUBSTITUTE(SUBSTITUTE(MID(Table1[[#This Row],[Raw Date]],3,3),"AMR","MAR"),"JNA","JAN"),"PAR","APR")</f>
        <v>APR</v>
      </c>
      <c r="D48" s="30">
        <f>IF(YEAR(RIGHT(Table1[[#This Row],[Raw Date]],4))&lt;&gt;2025,2025,0)</f>
        <v>2025</v>
      </c>
      <c r="E48" s="20" t="str">
        <f t="shared" si="1"/>
        <v>01-APR-2025</v>
      </c>
      <c r="F48" s="10" t="str" cm="1">
        <f t="array" ref="F48">_xlfn.IFS(LEFT(SUBSTITUTE('Raw Data'!B48," ",""),1)="s", "South", LEFT(SUBSTITUTE('Raw Data'!B48," ",""),1)="n", "North",LEFT(SUBSTITUTE('Raw Data'!B48," ",""),1)="e","East",LEFT(SUBSTITUTE('Raw Data'!B48," ",""),1)="w","West")</f>
        <v>West</v>
      </c>
      <c r="G48" s="10" t="str">
        <f>PROPER(CLEAN(SUBSTITUTE(SUBSTITUTE(SUBSTITUTE('Raw Data'!C48," ",""),",",""),".","")))</f>
        <v>Tablett8</v>
      </c>
      <c r="H48" s="12" t="str" cm="1">
        <f t="array" ref="H48">_xlfn.IFS(LEFT(SUBSTITUTE('Raw Data'!D48," ",""),2)="pe", "Peripherals",LEFT(SUBSTITUTE('Raw Data'!D48," ",""),2)="au", "Audio",LEFT(SUBSTITUTE('Raw Data'!D48," ",""),2)="co", "Computers", LEFT(SUBSTITUTE('Raw Data'!D48," ",""),1)="e", "Electronics",LEFT(SUBSTITUTE('Raw Data'!D48," ",""),2)="mo","Mobile",LEFT(SUBSTITUTE('Raw Data'!D48," ",""),2)="ph","Photography")</f>
        <v>Mobile</v>
      </c>
      <c r="I48" s="11">
        <f>'Raw Data'!E48</f>
        <v>11</v>
      </c>
      <c r="J48" s="13">
        <f>'Raw Data'!F48</f>
        <v>150000</v>
      </c>
      <c r="K48" s="17">
        <f>Table1[[#This Row],[Unit Price]]*Table1[[#This Row],[Units Sold]]</f>
        <v>1650000</v>
      </c>
      <c r="L48" s="10" t="str">
        <f>UPPER(TRIM(CLEAN(SUBSTITUTE(SUBSTITUTE(SUBSTITUTE('Raw Data'!G48,",",""),".","")," ",""))))</f>
        <v>MARYJOHN</v>
      </c>
      <c r="M48" s="16" t="str" cm="1">
        <f t="array" ref="M48">_xlfn.IFS(LEFT(SUBSTITUTE('Raw Data'!H48," ",""),1)="M", "Musa Enterprrises",LEFT(SUBSTITUTE('Raw Data'!H48," ",""),1)="o", "Omega Wholesale",LEFT(SUBSTITUTE('Raw Data'!H48," ",""),4)="Tola", "Tola Ventures", LEFT(SUBSTITUTE('Raw Data'!H48," ",""),1)="T", "Tope &amp; Sons",LEFT(SUBSTITUTE('Raw Data'!H48," ",""),1)="z","Zainab Global",LEFT(SUBSTITUTE('Raw Data'!H48," ",""),2)="Ma","Maryam Ltd",LEFT(SUBSTITUTE('Raw Data'!H48," ",""),1)="j","Jide Superstores",LEFT(SUBSTITUTE('Raw Data'!H48," ",""),1)="f","Femi Tech",LEFT(SUBSTITUTE('Raw Data'!H48," ",""),1)="k","Kelvin Tech",LEFT(SUBSTITUTE('Raw Data'!H48," ",""),1)="A","Adewale Stores",LEFT(SUBSTITUTE('Raw Data'!H48," ",""),2)="Al","Alpha Retailers",LEFT(SUBSTITUTE('Raw Data'!H48," ",""),1)="b","Bright Solutions",LEFT(SUBSTITUTE('Raw Data'!H48," ",""),1)="c","Chika Mart",LEFT(SUBSTITUTE('Raw Data'!H48," ",""),1)="e","Emeka Traders")</f>
        <v>Chika Mart</v>
      </c>
    </row>
    <row r="49" spans="1:13" x14ac:dyDescent="0.25">
      <c r="A49" s="20" t="str">
        <f>UPPER(SUBSTITUTE(SUBSTITUTE(SUBSTITUTE(CLEAN('Raw Data'!A49),"-","")," ",""),".",""))</f>
        <v>07APR2025</v>
      </c>
      <c r="B49" s="20" t="str">
        <f>LEFT(Table1[[#This Row],[Raw Date]],2)</f>
        <v>07</v>
      </c>
      <c r="C49" s="20" t="str">
        <f>SUBSTITUTE(SUBSTITUTE(SUBSTITUTE(MID(Table1[[#This Row],[Raw Date]],3,3),"AMR","MAR"),"JNA","JAN"),"PAR","APR")</f>
        <v>APR</v>
      </c>
      <c r="D49" s="30">
        <f>IF(YEAR(RIGHT(Table1[[#This Row],[Raw Date]],4))&lt;&gt;2025,2025,0)</f>
        <v>2025</v>
      </c>
      <c r="E49" s="20" t="str">
        <f t="shared" si="1"/>
        <v>07-APR-2025</v>
      </c>
      <c r="F49" s="10" t="str" cm="1">
        <f t="array" ref="F49">_xlfn.IFS(LEFT(SUBSTITUTE('Raw Data'!B49," ",""),1)="s", "South", LEFT(SUBSTITUTE('Raw Data'!B49," ",""),1)="n", "North",LEFT(SUBSTITUTE('Raw Data'!B49," ",""),1)="e","East",LEFT(SUBSTITUTE('Raw Data'!B49," ",""),1)="w","West")</f>
        <v>South</v>
      </c>
      <c r="G49" s="10" t="str">
        <f>PROPER(CLEAN(SUBSTITUTE(SUBSTITUTE(SUBSTITUTE('Raw Data'!C49," ",""),",",""),".","")))</f>
        <v>Tv43Q</v>
      </c>
      <c r="H49" s="12" t="str" cm="1">
        <f t="array" ref="H49">_xlfn.IFS(LEFT(SUBSTITUTE('Raw Data'!D49," ",""),2)="pe", "Peripherals",LEFT(SUBSTITUTE('Raw Data'!D49," ",""),2)="au", "Audio",LEFT(SUBSTITUTE('Raw Data'!D49," ",""),2)="co", "Computers", LEFT(SUBSTITUTE('Raw Data'!D49," ",""),1)="e", "Electronics",LEFT(SUBSTITUTE('Raw Data'!D49," ",""),2)="mo","Mobile",LEFT(SUBSTITUTE('Raw Data'!D49," ",""),2)="ph","Photography")</f>
        <v>Electronics</v>
      </c>
      <c r="I49" s="11">
        <f>'Raw Data'!E49</f>
        <v>4</v>
      </c>
      <c r="J49" s="13">
        <f>'Raw Data'!F49</f>
        <v>350000</v>
      </c>
      <c r="K49" s="17">
        <f>Table1[[#This Row],[Unit Price]]*Table1[[#This Row],[Units Sold]]</f>
        <v>1400000</v>
      </c>
      <c r="L49" s="10" t="str">
        <f>UPPER(TRIM(CLEAN(SUBSTITUTE(SUBSTITUTE(SUBSTITUTE('Raw Data'!G49,",",""),".","")," ",""))))</f>
        <v>GRACEAMOS</v>
      </c>
      <c r="M49" s="16" t="str" cm="1">
        <f t="array" ref="M49">_xlfn.IFS(LEFT(SUBSTITUTE('Raw Data'!H49," ",""),1)="M", "Musa Enterprrises",LEFT(SUBSTITUTE('Raw Data'!H49," ",""),1)="o", "Omega Wholesale",LEFT(SUBSTITUTE('Raw Data'!H49," ",""),4)="Tola", "Tola Ventures", LEFT(SUBSTITUTE('Raw Data'!H49," ",""),1)="T", "Tope &amp; Sons",LEFT(SUBSTITUTE('Raw Data'!H49," ",""),1)="z","Zainab Global",LEFT(SUBSTITUTE('Raw Data'!H49," ",""),2)="Ma","Maryam Ltd",LEFT(SUBSTITUTE('Raw Data'!H49," ",""),1)="j","Jide Superstores",LEFT(SUBSTITUTE('Raw Data'!H49," ",""),1)="f","Femi Tech",LEFT(SUBSTITUTE('Raw Data'!H49," ",""),1)="k","Kelvin Tech",LEFT(SUBSTITUTE('Raw Data'!H49," ",""),1)="A","Adewale Stores",LEFT(SUBSTITUTE('Raw Data'!H49," ",""),2)="Al","Alpha Retailers",LEFT(SUBSTITUTE('Raw Data'!H49," ",""),1)="b","Bright Solutions",LEFT(SUBSTITUTE('Raw Data'!H49," ",""),1)="c","Chika Mart",LEFT(SUBSTITUTE('Raw Data'!H49," ",""),1)="e","Emeka Traders")</f>
        <v>Jide Superstores</v>
      </c>
    </row>
    <row r="50" spans="1:13" x14ac:dyDescent="0.25">
      <c r="A50" s="20" t="str">
        <f>UPPER(SUBSTITUTE(SUBSTITUTE(SUBSTITUTE(CLEAN('Raw Data'!A50),"-","")," ",""),".",""))</f>
        <v>26FEB2025</v>
      </c>
      <c r="B50" s="20" t="str">
        <f>LEFT(Table1[[#This Row],[Raw Date]],2)</f>
        <v>26</v>
      </c>
      <c r="C50" s="20" t="str">
        <f>SUBSTITUTE(SUBSTITUTE(SUBSTITUTE(MID(Table1[[#This Row],[Raw Date]],3,3),"AMR","MAR"),"JNA","JAN"),"PAR","APR")</f>
        <v>FEB</v>
      </c>
      <c r="D50" s="30">
        <f>IF(YEAR(RIGHT(Table1[[#This Row],[Raw Date]],4))&lt;&gt;2025,2025,0)</f>
        <v>2025</v>
      </c>
      <c r="E50" s="20" t="str">
        <f t="shared" si="1"/>
        <v>26-FEB-2025</v>
      </c>
      <c r="F50" s="10" t="str" cm="1">
        <f t="array" ref="F50">_xlfn.IFS(LEFT(SUBSTITUTE('Raw Data'!B50," ",""),1)="s", "South", LEFT(SUBSTITUTE('Raw Data'!B50," ",""),1)="n", "North",LEFT(SUBSTITUTE('Raw Data'!B50," ",""),1)="e","East",LEFT(SUBSTITUTE('Raw Data'!B50," ",""),1)="w","West")</f>
        <v>South</v>
      </c>
      <c r="G50" s="10" t="str">
        <f>PROPER(CLEAN(SUBSTITUTE(SUBSTITUTE(SUBSTITUTE('Raw Data'!C50," ",""),",",""),".","")))</f>
        <v>Tablett8</v>
      </c>
      <c r="H50" s="12" t="str" cm="1">
        <f t="array" ref="H50">_xlfn.IFS(LEFT(SUBSTITUTE('Raw Data'!D50," ",""),2)="pe", "Peripherals",LEFT(SUBSTITUTE('Raw Data'!D50," ",""),2)="au", "Audio",LEFT(SUBSTITUTE('Raw Data'!D50," ",""),2)="co", "Computers", LEFT(SUBSTITUTE('Raw Data'!D50," ",""),1)="e", "Electronics",LEFT(SUBSTITUTE('Raw Data'!D50," ",""),2)="mo","Mobile",LEFT(SUBSTITUTE('Raw Data'!D50," ",""),2)="ph","Photography")</f>
        <v>Mobile</v>
      </c>
      <c r="I50" s="11">
        <f>'Raw Data'!E50</f>
        <v>19</v>
      </c>
      <c r="J50" s="13">
        <f>'Raw Data'!F50</f>
        <v>150000</v>
      </c>
      <c r="K50" s="17">
        <f>Table1[[#This Row],[Unit Price]]*Table1[[#This Row],[Units Sold]]</f>
        <v>2850000</v>
      </c>
      <c r="L50" s="10" t="str">
        <f>UPPER(TRIM(CLEAN(SUBSTITUTE(SUBSTITUTE(SUBSTITUTE('Raw Data'!G50,",",""),".","")," ",""))))</f>
        <v>PRAISEODUNAYO</v>
      </c>
      <c r="M50" s="16" t="str" cm="1">
        <f t="array" ref="M50">_xlfn.IFS(LEFT(SUBSTITUTE('Raw Data'!H50," ",""),1)="M", "Musa Enterprrises",LEFT(SUBSTITUTE('Raw Data'!H50," ",""),1)="o", "Omega Wholesale",LEFT(SUBSTITUTE('Raw Data'!H50," ",""),4)="Tola", "Tola Ventures", LEFT(SUBSTITUTE('Raw Data'!H50," ",""),1)="T", "Tope &amp; Sons",LEFT(SUBSTITUTE('Raw Data'!H50," ",""),1)="z","Zainab Global",LEFT(SUBSTITUTE('Raw Data'!H50," ",""),2)="Ma","Maryam Ltd",LEFT(SUBSTITUTE('Raw Data'!H50," ",""),1)="j","Jide Superstores",LEFT(SUBSTITUTE('Raw Data'!H50," ",""),1)="f","Femi Tech",LEFT(SUBSTITUTE('Raw Data'!H50," ",""),1)="k","Kelvin Tech",LEFT(SUBSTITUTE('Raw Data'!H50," ",""),1)="A","Adewale Stores",LEFT(SUBSTITUTE('Raw Data'!H50," ",""),2)="Al","Alpha Retailers",LEFT(SUBSTITUTE('Raw Data'!H50," ",""),1)="b","Bright Solutions",LEFT(SUBSTITUTE('Raw Data'!H50," ",""),1)="c","Chika Mart",LEFT(SUBSTITUTE('Raw Data'!H50," ",""),1)="e","Emeka Traders")</f>
        <v>Kelvin Tech</v>
      </c>
    </row>
    <row r="51" spans="1:13" x14ac:dyDescent="0.25">
      <c r="A51" s="20" t="str">
        <f>UPPER(SUBSTITUTE(SUBSTITUTE(SUBSTITUTE(CLEAN('Raw Data'!A51),"-","")," ",""),".",""))</f>
        <v>01JUN2025</v>
      </c>
      <c r="B51" s="20" t="str">
        <f>LEFT(Table1[[#This Row],[Raw Date]],2)</f>
        <v>01</v>
      </c>
      <c r="C51" s="20" t="str">
        <f>SUBSTITUTE(SUBSTITUTE(SUBSTITUTE(MID(Table1[[#This Row],[Raw Date]],3,3),"AMR","MAR"),"JNA","JAN"),"PAR","APR")</f>
        <v>JUN</v>
      </c>
      <c r="D51" s="30">
        <f>IF(YEAR(RIGHT(Table1[[#This Row],[Raw Date]],4))&lt;&gt;2025,2025,0)</f>
        <v>2025</v>
      </c>
      <c r="E51" s="20" t="str">
        <f t="shared" si="1"/>
        <v>01-JUN-2025</v>
      </c>
      <c r="F51" s="10" t="str" cm="1">
        <f t="array" ref="F51">_xlfn.IFS(LEFT(SUBSTITUTE('Raw Data'!B51," ",""),1)="s", "South", LEFT(SUBSTITUTE('Raw Data'!B51," ",""),1)="n", "North",LEFT(SUBSTITUTE('Raw Data'!B51," ",""),1)="e","East",LEFT(SUBSTITUTE('Raw Data'!B51," ",""),1)="w","West")</f>
        <v>East</v>
      </c>
      <c r="G51" s="10" t="str">
        <f>PROPER(CLEAN(SUBSTITUTE(SUBSTITUTE(SUBSTITUTE('Raw Data'!C51," ",""),",",""),".","")))</f>
        <v>Speakers10</v>
      </c>
      <c r="H51" s="12" t="str" cm="1">
        <f t="array" ref="H51">_xlfn.IFS(LEFT(SUBSTITUTE('Raw Data'!D51," ",""),2)="pe", "Peripherals",LEFT(SUBSTITUTE('Raw Data'!D51," ",""),2)="au", "Audio",LEFT(SUBSTITUTE('Raw Data'!D51," ",""),2)="co", "Computers", LEFT(SUBSTITUTE('Raw Data'!D51," ",""),1)="e", "Electronics",LEFT(SUBSTITUTE('Raw Data'!D51," ",""),2)="mo","Mobile",LEFT(SUBSTITUTE('Raw Data'!D51," ",""),2)="ph","Photography")</f>
        <v>Audio</v>
      </c>
      <c r="I51" s="11">
        <f>'Raw Data'!E51</f>
        <v>7</v>
      </c>
      <c r="J51" s="13">
        <f>'Raw Data'!F51</f>
        <v>85000</v>
      </c>
      <c r="K51" s="17">
        <f>Table1[[#This Row],[Unit Price]]*Table1[[#This Row],[Units Sold]]</f>
        <v>595000</v>
      </c>
      <c r="L51" s="10" t="str">
        <f>UPPER(TRIM(CLEAN(SUBSTITUTE(SUBSTITUTE(SUBSTITUTE('Raw Data'!G51,",",""),".","")," ",""))))</f>
        <v>AISHABELLO</v>
      </c>
      <c r="M51" s="16" t="str" cm="1">
        <f t="array" ref="M51">_xlfn.IFS(LEFT(SUBSTITUTE('Raw Data'!H51," ",""),1)="M", "Musa Enterprrises",LEFT(SUBSTITUTE('Raw Data'!H51," ",""),1)="o", "Omega Wholesale",LEFT(SUBSTITUTE('Raw Data'!H51," ",""),4)="Tola", "Tola Ventures", LEFT(SUBSTITUTE('Raw Data'!H51," ",""),1)="T", "Tope &amp; Sons",LEFT(SUBSTITUTE('Raw Data'!H51," ",""),1)="z","Zainab Global",LEFT(SUBSTITUTE('Raw Data'!H51," ",""),2)="Ma","Maryam Ltd",LEFT(SUBSTITUTE('Raw Data'!H51," ",""),1)="j","Jide Superstores",LEFT(SUBSTITUTE('Raw Data'!H51," ",""),1)="f","Femi Tech",LEFT(SUBSTITUTE('Raw Data'!H51," ",""),1)="k","Kelvin Tech",LEFT(SUBSTITUTE('Raw Data'!H51," ",""),1)="A","Adewale Stores",LEFT(SUBSTITUTE('Raw Data'!H51," ",""),2)="Al","Alpha Retailers",LEFT(SUBSTITUTE('Raw Data'!H51," ",""),1)="b","Bright Solutions",LEFT(SUBSTITUTE('Raw Data'!H51," ",""),1)="c","Chika Mart",LEFT(SUBSTITUTE('Raw Data'!H51," ",""),1)="e","Emeka Traders")</f>
        <v>Bright Solutions</v>
      </c>
    </row>
    <row r="52" spans="1:13" x14ac:dyDescent="0.25">
      <c r="A52" s="20" t="str">
        <f>UPPER(SUBSTITUTE(SUBSTITUTE(SUBSTITUTE(CLEAN('Raw Data'!A52),"-","")," ",""),".",""))</f>
        <v>14JAN2025</v>
      </c>
      <c r="B52" s="20" t="str">
        <f>LEFT(Table1[[#This Row],[Raw Date]],2)</f>
        <v>14</v>
      </c>
      <c r="C52" s="20" t="str">
        <f>SUBSTITUTE(SUBSTITUTE(SUBSTITUTE(MID(Table1[[#This Row],[Raw Date]],3,3),"AMR","MAR"),"JNA","JAN"),"PAR","APR")</f>
        <v>JAN</v>
      </c>
      <c r="D52" s="30">
        <f>IF(YEAR(RIGHT(Table1[[#This Row],[Raw Date]],4))&lt;&gt;2025,2025,0)</f>
        <v>2025</v>
      </c>
      <c r="E52" s="20" t="str">
        <f t="shared" si="1"/>
        <v>14-JAN-2025</v>
      </c>
      <c r="F52" s="10" t="str" cm="1">
        <f t="array" ref="F52">_xlfn.IFS(LEFT(SUBSTITUTE('Raw Data'!B52," ",""),1)="s", "South", LEFT(SUBSTITUTE('Raw Data'!B52," ",""),1)="n", "North",LEFT(SUBSTITUTE('Raw Data'!B52," ",""),1)="e","East",LEFT(SUBSTITUTE('Raw Data'!B52," ",""),1)="w","West")</f>
        <v>West</v>
      </c>
      <c r="G52" s="10" t="str">
        <f>PROPER(CLEAN(SUBSTITUTE(SUBSTITUTE(SUBSTITUTE('Raw Data'!C52," ",""),",",""),".","")))</f>
        <v>Monitorm24</v>
      </c>
      <c r="H52" s="12" t="str" cm="1">
        <f t="array" ref="H52">_xlfn.IFS(LEFT(SUBSTITUTE('Raw Data'!D52," ",""),2)="pe", "Peripherals",LEFT(SUBSTITUTE('Raw Data'!D52," ",""),2)="au", "Audio",LEFT(SUBSTITUTE('Raw Data'!D52," ",""),2)="co", "Computers", LEFT(SUBSTITUTE('Raw Data'!D52," ",""),1)="e", "Electronics",LEFT(SUBSTITUTE('Raw Data'!D52," ",""),2)="mo","Mobile",LEFT(SUBSTITUTE('Raw Data'!D52," ",""),2)="ph","Photography")</f>
        <v>Peripherals</v>
      </c>
      <c r="I52" s="11">
        <f>'Raw Data'!E52</f>
        <v>13</v>
      </c>
      <c r="J52" s="13">
        <f>'Raw Data'!F52</f>
        <v>57912</v>
      </c>
      <c r="K52" s="17">
        <f>Table1[[#This Row],[Unit Price]]*Table1[[#This Row],[Units Sold]]</f>
        <v>752856</v>
      </c>
      <c r="L52" s="10" t="str">
        <f>UPPER(TRIM(CLEAN(SUBSTITUTE(SUBSTITUTE(SUBSTITUTE('Raw Data'!G52,",",""),".","")," ",""))))</f>
        <v>FOLABALOGUN</v>
      </c>
      <c r="M52" s="16" t="str" cm="1">
        <f t="array" ref="M52">_xlfn.IFS(LEFT(SUBSTITUTE('Raw Data'!H52," ",""),1)="M", "Musa Enterprrises",LEFT(SUBSTITUTE('Raw Data'!H52," ",""),1)="o", "Omega Wholesale",LEFT(SUBSTITUTE('Raw Data'!H52," ",""),4)="Tola", "Tola Ventures", LEFT(SUBSTITUTE('Raw Data'!H52," ",""),1)="T", "Tope &amp; Sons",LEFT(SUBSTITUTE('Raw Data'!H52," ",""),1)="z","Zainab Global",LEFT(SUBSTITUTE('Raw Data'!H52," ",""),2)="Ma","Maryam Ltd",LEFT(SUBSTITUTE('Raw Data'!H52," ",""),1)="j","Jide Superstores",LEFT(SUBSTITUTE('Raw Data'!H52," ",""),1)="f","Femi Tech",LEFT(SUBSTITUTE('Raw Data'!H52," ",""),1)="k","Kelvin Tech",LEFT(SUBSTITUTE('Raw Data'!H52," ",""),1)="A","Adewale Stores",LEFT(SUBSTITUTE('Raw Data'!H52," ",""),2)="Al","Alpha Retailers",LEFT(SUBSTITUTE('Raw Data'!H52," ",""),1)="b","Bright Solutions",LEFT(SUBSTITUTE('Raw Data'!H52," ",""),1)="c","Chika Mart",LEFT(SUBSTITUTE('Raw Data'!H52," ",""),1)="e","Emeka Traders")</f>
        <v>Femi Tech</v>
      </c>
    </row>
    <row r="53" spans="1:13" x14ac:dyDescent="0.25">
      <c r="A53" s="20" t="str">
        <f>UPPER(SUBSTITUTE(SUBSTITUTE(SUBSTITUTE(CLEAN('Raw Data'!A53),"-","")," ",""),".",""))</f>
        <v>22FEB2025</v>
      </c>
      <c r="B53" s="20" t="str">
        <f>LEFT(Table1[[#This Row],[Raw Date]],2)</f>
        <v>22</v>
      </c>
      <c r="C53" s="20" t="str">
        <f>SUBSTITUTE(SUBSTITUTE(SUBSTITUTE(MID(Table1[[#This Row],[Raw Date]],3,3),"AMR","MAR"),"JNA","JAN"),"PAR","APR")</f>
        <v>FEB</v>
      </c>
      <c r="D53" s="30">
        <f>IF(YEAR(RIGHT(Table1[[#This Row],[Raw Date]],4))&lt;&gt;2025,2025,0)</f>
        <v>2025</v>
      </c>
      <c r="E53" s="20" t="str">
        <f t="shared" si="1"/>
        <v>22-FEB-2025</v>
      </c>
      <c r="F53" s="10" t="str" cm="1">
        <f t="array" ref="F53">_xlfn.IFS(LEFT(SUBSTITUTE('Raw Data'!B53," ",""),1)="s", "South", LEFT(SUBSTITUTE('Raw Data'!B53," ",""),1)="n", "North",LEFT(SUBSTITUTE('Raw Data'!B53," ",""),1)="e","East",LEFT(SUBSTITUTE('Raw Data'!B53," ",""),1)="w","West")</f>
        <v>East</v>
      </c>
      <c r="G53" s="10" t="str">
        <f>PROPER(CLEAN(SUBSTITUTE(SUBSTITUTE(SUBSTITUTE('Raw Data'!C53," ",""),",",""),".","")))</f>
        <v>Monitorm24</v>
      </c>
      <c r="H53" s="12" t="str" cm="1">
        <f t="array" ref="H53">_xlfn.IFS(LEFT(SUBSTITUTE('Raw Data'!D53," ",""),2)="pe", "Peripherals",LEFT(SUBSTITUTE('Raw Data'!D53," ",""),2)="au", "Audio",LEFT(SUBSTITUTE('Raw Data'!D53," ",""),2)="co", "Computers", LEFT(SUBSTITUTE('Raw Data'!D53," ",""),1)="e", "Electronics",LEFT(SUBSTITUTE('Raw Data'!D53," ",""),2)="mo","Mobile",LEFT(SUBSTITUTE('Raw Data'!D53," ",""),2)="ph","Photography")</f>
        <v>Peripherals</v>
      </c>
      <c r="I53" s="11">
        <f>'Raw Data'!E53</f>
        <v>18</v>
      </c>
      <c r="J53" s="13">
        <f>'Raw Data'!F53</f>
        <v>650000</v>
      </c>
      <c r="K53" s="17">
        <f>Table1[[#This Row],[Unit Price]]*Table1[[#This Row],[Units Sold]]</f>
        <v>11700000</v>
      </c>
      <c r="L53" s="10" t="str">
        <f>UPPER(TRIM(CLEAN(SUBSTITUTE(SUBSTITUTE(SUBSTITUTE('Raw Data'!G53,",",""),".","")," ",""))))</f>
        <v>GRACEAMOS</v>
      </c>
      <c r="M53" s="16" t="str" cm="1">
        <f t="array" ref="M53">_xlfn.IFS(LEFT(SUBSTITUTE('Raw Data'!H53," ",""),1)="M", "Musa Enterprrises",LEFT(SUBSTITUTE('Raw Data'!H53," ",""),1)="o", "Omega Wholesale",LEFT(SUBSTITUTE('Raw Data'!H53," ",""),4)="Tola", "Tola Ventures", LEFT(SUBSTITUTE('Raw Data'!H53," ",""),1)="T", "Tope &amp; Sons",LEFT(SUBSTITUTE('Raw Data'!H53," ",""),1)="z","Zainab Global",LEFT(SUBSTITUTE('Raw Data'!H53," ",""),2)="Ma","Maryam Ltd",LEFT(SUBSTITUTE('Raw Data'!H53," ",""),1)="j","Jide Superstores",LEFT(SUBSTITUTE('Raw Data'!H53," ",""),1)="f","Femi Tech",LEFT(SUBSTITUTE('Raw Data'!H53," ",""),1)="k","Kelvin Tech",LEFT(SUBSTITUTE('Raw Data'!H53," ",""),1)="A","Adewale Stores",LEFT(SUBSTITUTE('Raw Data'!H53," ",""),2)="Al","Alpha Retailers",LEFT(SUBSTITUTE('Raw Data'!H53," ",""),1)="b","Bright Solutions",LEFT(SUBSTITUTE('Raw Data'!H53," ",""),1)="c","Chika Mart",LEFT(SUBSTITUTE('Raw Data'!H53," ",""),1)="e","Emeka Traders")</f>
        <v>Jide Superstores</v>
      </c>
    </row>
    <row r="54" spans="1:13" x14ac:dyDescent="0.25">
      <c r="A54" s="20" t="str">
        <f>UPPER(SUBSTITUTE(SUBSTITUTE(SUBSTITUTE(CLEAN('Raw Data'!A54),"-","")," ",""),".",""))</f>
        <v>24AMR2025</v>
      </c>
      <c r="B54" s="20" t="str">
        <f>LEFT(Table1[[#This Row],[Raw Date]],2)</f>
        <v>24</v>
      </c>
      <c r="C54" s="20" t="str">
        <f>SUBSTITUTE(SUBSTITUTE(SUBSTITUTE(MID(Table1[[#This Row],[Raw Date]],3,3),"AMR","MAR"),"JNA","JAN"),"PAR","APR")</f>
        <v>MAR</v>
      </c>
      <c r="D54" s="30">
        <f>IF(YEAR(RIGHT(Table1[[#This Row],[Raw Date]],4))&lt;&gt;2025,2025,0)</f>
        <v>2025</v>
      </c>
      <c r="E54" s="20" t="str">
        <f t="shared" si="1"/>
        <v>24-MAR-2025</v>
      </c>
      <c r="F54" s="10" t="str" cm="1">
        <f t="array" ref="F54">_xlfn.IFS(LEFT(SUBSTITUTE('Raw Data'!B54," ",""),1)="s", "South", LEFT(SUBSTITUTE('Raw Data'!B54," ",""),1)="n", "North",LEFT(SUBSTITUTE('Raw Data'!B54," ",""),1)="e","East",LEFT(SUBSTITUTE('Raw Data'!B54," ",""),1)="w","West")</f>
        <v>West</v>
      </c>
      <c r="G54" s="10" t="str">
        <f>PROPER(CLEAN(SUBSTITUTE(SUBSTITUTE(SUBSTITUTE('Raw Data'!C54," ",""),",",""),".","")))</f>
        <v>Monitorm24</v>
      </c>
      <c r="H54" s="12" t="str" cm="1">
        <f t="array" ref="H54">_xlfn.IFS(LEFT(SUBSTITUTE('Raw Data'!D54," ",""),2)="pe", "Peripherals",LEFT(SUBSTITUTE('Raw Data'!D54," ",""),2)="au", "Audio",LEFT(SUBSTITUTE('Raw Data'!D54," ",""),2)="co", "Computers", LEFT(SUBSTITUTE('Raw Data'!D54," ",""),1)="e", "Electronics",LEFT(SUBSTITUTE('Raw Data'!D54," ",""),2)="mo","Mobile",LEFT(SUBSTITUTE('Raw Data'!D54," ",""),2)="ph","Photography")</f>
        <v>Peripherals</v>
      </c>
      <c r="I54" s="11">
        <f>'Raw Data'!E54</f>
        <v>5</v>
      </c>
      <c r="J54" s="13">
        <f>'Raw Data'!F54</f>
        <v>65000</v>
      </c>
      <c r="K54" s="17">
        <f>Table1[[#This Row],[Unit Price]]*Table1[[#This Row],[Units Sold]]</f>
        <v>325000</v>
      </c>
      <c r="L54" s="10" t="str">
        <f>UPPER(TRIM(CLEAN(SUBSTITUTE(SUBSTITUTE(SUBSTITUTE('Raw Data'!G54,",",""),".","")," ",""))))</f>
        <v>AISHABELLO</v>
      </c>
      <c r="M54" s="16" t="str" cm="1">
        <f t="array" ref="M54">_xlfn.IFS(LEFT(SUBSTITUTE('Raw Data'!H54," ",""),1)="M", "Musa Enterprrises",LEFT(SUBSTITUTE('Raw Data'!H54," ",""),1)="o", "Omega Wholesale",LEFT(SUBSTITUTE('Raw Data'!H54," ",""),4)="Tola", "Tola Ventures", LEFT(SUBSTITUTE('Raw Data'!H54," ",""),1)="T", "Tope &amp; Sons",LEFT(SUBSTITUTE('Raw Data'!H54," ",""),1)="z","Zainab Global",LEFT(SUBSTITUTE('Raw Data'!H54," ",""),2)="Ma","Maryam Ltd",LEFT(SUBSTITUTE('Raw Data'!H54," ",""),1)="j","Jide Superstores",LEFT(SUBSTITUTE('Raw Data'!H54," ",""),1)="f","Femi Tech",LEFT(SUBSTITUTE('Raw Data'!H54," ",""),1)="k","Kelvin Tech",LEFT(SUBSTITUTE('Raw Data'!H54," ",""),1)="A","Adewale Stores",LEFT(SUBSTITUTE('Raw Data'!H54," ",""),2)="Al","Alpha Retailers",LEFT(SUBSTITUTE('Raw Data'!H54," ",""),1)="b","Bright Solutions",LEFT(SUBSTITUTE('Raw Data'!H54," ",""),1)="c","Chika Mart",LEFT(SUBSTITUTE('Raw Data'!H54," ",""),1)="e","Emeka Traders")</f>
        <v>Kelvin Tech</v>
      </c>
    </row>
    <row r="55" spans="1:13" x14ac:dyDescent="0.25">
      <c r="A55" s="20" t="str">
        <f>UPPER(SUBSTITUTE(SUBSTITUTE(SUBSTITUTE(CLEAN('Raw Data'!A55),"-","")," ",""),".",""))</f>
        <v>27JAN2025</v>
      </c>
      <c r="B55" s="20" t="str">
        <f>LEFT(Table1[[#This Row],[Raw Date]],2)</f>
        <v>27</v>
      </c>
      <c r="C55" s="20" t="str">
        <f>SUBSTITUTE(SUBSTITUTE(SUBSTITUTE(MID(Table1[[#This Row],[Raw Date]],3,3),"AMR","MAR"),"JNA","JAN"),"PAR","APR")</f>
        <v>JAN</v>
      </c>
      <c r="D55" s="30">
        <f>IF(YEAR(RIGHT(Table1[[#This Row],[Raw Date]],4))&lt;&gt;2025,2025,0)</f>
        <v>2025</v>
      </c>
      <c r="E55" s="20" t="str">
        <f t="shared" si="1"/>
        <v>27-JAN-2025</v>
      </c>
      <c r="F55" s="10" t="str" cm="1">
        <f t="array" ref="F55">_xlfn.IFS(LEFT(SUBSTITUTE('Raw Data'!B55," ",""),1)="s", "South", LEFT(SUBSTITUTE('Raw Data'!B55," ",""),1)="n", "North",LEFT(SUBSTITUTE('Raw Data'!B55," ",""),1)="e","East",LEFT(SUBSTITUTE('Raw Data'!B55," ",""),1)="w","West")</f>
        <v>South</v>
      </c>
      <c r="G55" s="10" t="str">
        <f>PROPER(CLEAN(SUBSTITUTE(SUBSTITUTE(SUBSTITUTE('Raw Data'!C55," ",""),",",""),".","")))</f>
        <v>Tv43Q</v>
      </c>
      <c r="H55" s="12" t="str" cm="1">
        <f t="array" ref="H55">_xlfn.IFS(LEFT(SUBSTITUTE('Raw Data'!D55," ",""),2)="pe", "Peripherals",LEFT(SUBSTITUTE('Raw Data'!D55," ",""),2)="au", "Audio",LEFT(SUBSTITUTE('Raw Data'!D55," ",""),2)="co", "Computers", LEFT(SUBSTITUTE('Raw Data'!D55," ",""),1)="e", "Electronics",LEFT(SUBSTITUTE('Raw Data'!D55," ",""),2)="mo","Mobile",LEFT(SUBSTITUTE('Raw Data'!D55," ",""),2)="ph","Photography")</f>
        <v>Electronics</v>
      </c>
      <c r="I55" s="11">
        <f>'Raw Data'!E55</f>
        <v>13</v>
      </c>
      <c r="J55" s="13">
        <f>'Raw Data'!F55</f>
        <v>350000</v>
      </c>
      <c r="K55" s="17">
        <f>Table1[[#This Row],[Unit Price]]*Table1[[#This Row],[Units Sold]]</f>
        <v>4550000</v>
      </c>
      <c r="L55" s="10" t="str">
        <f>UPPER(TRIM(CLEAN(SUBSTITUTE(SUBSTITUTE(SUBSTITUTE('Raw Data'!G55,",",""),".","")," ",""))))</f>
        <v>CHINEDUNWOSU</v>
      </c>
      <c r="M55" s="16" t="str" cm="1">
        <f t="array" ref="M55">_xlfn.IFS(LEFT(SUBSTITUTE('Raw Data'!H55," ",""),1)="M", "Musa Enterprrises",LEFT(SUBSTITUTE('Raw Data'!H55," ",""),1)="o", "Omega Wholesale",LEFT(SUBSTITUTE('Raw Data'!H55," ",""),4)="Tola", "Tola Ventures", LEFT(SUBSTITUTE('Raw Data'!H55," ",""),1)="T", "Tope &amp; Sons",LEFT(SUBSTITUTE('Raw Data'!H55," ",""),1)="z","Zainab Global",LEFT(SUBSTITUTE('Raw Data'!H55," ",""),2)="Ma","Maryam Ltd",LEFT(SUBSTITUTE('Raw Data'!H55," ",""),1)="j","Jide Superstores",LEFT(SUBSTITUTE('Raw Data'!H55," ",""),1)="f","Femi Tech",LEFT(SUBSTITUTE('Raw Data'!H55," ",""),1)="k","Kelvin Tech",LEFT(SUBSTITUTE('Raw Data'!H55," ",""),1)="A","Adewale Stores",LEFT(SUBSTITUTE('Raw Data'!H55," ",""),2)="Al","Alpha Retailers",LEFT(SUBSTITUTE('Raw Data'!H55," ",""),1)="b","Bright Solutions",LEFT(SUBSTITUTE('Raw Data'!H55," ",""),1)="c","Chika Mart",LEFT(SUBSTITUTE('Raw Data'!H55," ",""),1)="e","Emeka Traders")</f>
        <v>Femi Tech</v>
      </c>
    </row>
    <row r="56" spans="1:13" x14ac:dyDescent="0.25">
      <c r="A56" s="20" t="str">
        <f>UPPER(SUBSTITUTE(SUBSTITUTE(SUBSTITUTE(CLEAN('Raw Data'!A56),"-","")," ",""),".",""))</f>
        <v>04JNA2025</v>
      </c>
      <c r="B56" s="20" t="str">
        <f>LEFT(Table1[[#This Row],[Raw Date]],2)</f>
        <v>04</v>
      </c>
      <c r="C56" s="20" t="str">
        <f>SUBSTITUTE(SUBSTITUTE(SUBSTITUTE(MID(Table1[[#This Row],[Raw Date]],3,3),"AMR","MAR"),"JNA","JAN"),"PAR","APR")</f>
        <v>JAN</v>
      </c>
      <c r="D56" s="30">
        <f>IF(YEAR(RIGHT(Table1[[#This Row],[Raw Date]],4))&lt;&gt;2025,2025,0)</f>
        <v>2025</v>
      </c>
      <c r="E56" s="20" t="str">
        <f t="shared" si="1"/>
        <v>04-JAN-2025</v>
      </c>
      <c r="F56" s="10" t="str" cm="1">
        <f t="array" ref="F56">_xlfn.IFS(LEFT(SUBSTITUTE('Raw Data'!B56," ",""),1)="s", "South", LEFT(SUBSTITUTE('Raw Data'!B56," ",""),1)="n", "North",LEFT(SUBSTITUTE('Raw Data'!B56," ",""),1)="e","East",LEFT(SUBSTITUTE('Raw Data'!B56," ",""),1)="w","West")</f>
        <v>West</v>
      </c>
      <c r="G56" s="10" t="str">
        <f>PROPER(CLEAN(SUBSTITUTE(SUBSTITUTE(SUBSTITUTE('Raw Data'!C56," ",""),",",""),".","")))</f>
        <v>Tv43Q</v>
      </c>
      <c r="H56" s="12" t="str" cm="1">
        <f t="array" ref="H56">_xlfn.IFS(LEFT(SUBSTITUTE('Raw Data'!D56," ",""),2)="pe", "Peripherals",LEFT(SUBSTITUTE('Raw Data'!D56," ",""),2)="au", "Audio",LEFT(SUBSTITUTE('Raw Data'!D56," ",""),2)="co", "Computers", LEFT(SUBSTITUTE('Raw Data'!D56," ",""),1)="e", "Electronics",LEFT(SUBSTITUTE('Raw Data'!D56," ",""),2)="mo","Mobile",LEFT(SUBSTITUTE('Raw Data'!D56," ",""),2)="ph","Photography")</f>
        <v>Electronics</v>
      </c>
      <c r="I56" s="11">
        <f>'Raw Data'!E56</f>
        <v>19</v>
      </c>
      <c r="J56" s="13">
        <f>'Raw Data'!F56</f>
        <v>350000</v>
      </c>
      <c r="K56" s="17">
        <f>Table1[[#This Row],[Unit Price]]*Table1[[#This Row],[Units Sold]]</f>
        <v>6650000</v>
      </c>
      <c r="L56" s="10" t="str">
        <f>UPPER(TRIM(CLEAN(SUBSTITUTE(SUBSTITUTE(SUBSTITUTE('Raw Data'!G56,",",""),".","")," ",""))))</f>
        <v>IFEANYIOKAFOR</v>
      </c>
      <c r="M56" s="16" t="str" cm="1">
        <f t="array" ref="M56">_xlfn.IFS(LEFT(SUBSTITUTE('Raw Data'!H56," ",""),1)="M", "Musa Enterprrises",LEFT(SUBSTITUTE('Raw Data'!H56," ",""),1)="o", "Omega Wholesale",LEFT(SUBSTITUTE('Raw Data'!H56," ",""),4)="Tola", "Tola Ventures", LEFT(SUBSTITUTE('Raw Data'!H56," ",""),1)="T", "Tope &amp; Sons",LEFT(SUBSTITUTE('Raw Data'!H56," ",""),1)="z","Zainab Global",LEFT(SUBSTITUTE('Raw Data'!H56," ",""),2)="Ma","Maryam Ltd",LEFT(SUBSTITUTE('Raw Data'!H56," ",""),1)="j","Jide Superstores",LEFT(SUBSTITUTE('Raw Data'!H56," ",""),1)="f","Femi Tech",LEFT(SUBSTITUTE('Raw Data'!H56," ",""),1)="k","Kelvin Tech",LEFT(SUBSTITUTE('Raw Data'!H56," ",""),1)="A","Adewale Stores",LEFT(SUBSTITUTE('Raw Data'!H56," ",""),2)="Al","Alpha Retailers",LEFT(SUBSTITUTE('Raw Data'!H56," ",""),1)="b","Bright Solutions",LEFT(SUBSTITUTE('Raw Data'!H56," ",""),1)="c","Chika Mart",LEFT(SUBSTITUTE('Raw Data'!H56," ",""),1)="e","Emeka Traders")</f>
        <v>Jide Superstores</v>
      </c>
    </row>
    <row r="57" spans="1:13" x14ac:dyDescent="0.25">
      <c r="A57" s="20" t="str">
        <f>UPPER(SUBSTITUTE(SUBSTITUTE(SUBSTITUTE(CLEAN('Raw Data'!A57),"-","")," ",""),".",""))</f>
        <v>08MAR2025</v>
      </c>
      <c r="B57" s="20" t="str">
        <f>LEFT(Table1[[#This Row],[Raw Date]],2)</f>
        <v>08</v>
      </c>
      <c r="C57" s="20" t="str">
        <f>SUBSTITUTE(SUBSTITUTE(SUBSTITUTE(MID(Table1[[#This Row],[Raw Date]],3,3),"AMR","MAR"),"JNA","JAN"),"PAR","APR")</f>
        <v>MAR</v>
      </c>
      <c r="D57" s="30">
        <f>IF(YEAR(RIGHT(Table1[[#This Row],[Raw Date]],4))&lt;&gt;2025,2025,0)</f>
        <v>2025</v>
      </c>
      <c r="E57" s="20" t="str">
        <f t="shared" si="1"/>
        <v>08-MAR-2025</v>
      </c>
      <c r="F57" s="10" t="str" cm="1">
        <f t="array" ref="F57">_xlfn.IFS(LEFT(SUBSTITUTE('Raw Data'!B57," ",""),1)="s", "South", LEFT(SUBSTITUTE('Raw Data'!B57," ",""),1)="n", "North",LEFT(SUBSTITUTE('Raw Data'!B57," ",""),1)="e","East",LEFT(SUBSTITUTE('Raw Data'!B57," ",""),1)="w","West")</f>
        <v>North</v>
      </c>
      <c r="G57" s="10" t="str">
        <f>PROPER(CLEAN(SUBSTITUTE(SUBSTITUTE(SUBSTITUTE('Raw Data'!C57," ",""),",",""),".","")))</f>
        <v>Phonex12</v>
      </c>
      <c r="H57" s="12" t="str" cm="1">
        <f t="array" ref="H57">_xlfn.IFS(LEFT(SUBSTITUTE('Raw Data'!D57," ",""),2)="pe", "Peripherals",LEFT(SUBSTITUTE('Raw Data'!D57," ",""),2)="au", "Audio",LEFT(SUBSTITUTE('Raw Data'!D57," ",""),2)="co", "Computers", LEFT(SUBSTITUTE('Raw Data'!D57," ",""),1)="e", "Electronics",LEFT(SUBSTITUTE('Raw Data'!D57," ",""),2)="mo","Mobile",LEFT(SUBSTITUTE('Raw Data'!D57," ",""),2)="ph","Photography")</f>
        <v>Mobile</v>
      </c>
      <c r="I57" s="11">
        <f>'Raw Data'!E57</f>
        <v>9</v>
      </c>
      <c r="J57" s="13">
        <f>'Raw Data'!F57</f>
        <v>180000</v>
      </c>
      <c r="K57" s="17">
        <f>Table1[[#This Row],[Unit Price]]*Table1[[#This Row],[Units Sold]]</f>
        <v>1620000</v>
      </c>
      <c r="L57" s="10" t="str">
        <f>UPPER(TRIM(CLEAN(SUBSTITUTE(SUBSTITUTE(SUBSTITUTE('Raw Data'!G57,",",""),".","")," ",""))))</f>
        <v>AISHABELLO</v>
      </c>
      <c r="M57" s="16" t="str" cm="1">
        <f t="array" ref="M57">_xlfn.IFS(LEFT(SUBSTITUTE('Raw Data'!H57," ",""),1)="M", "Musa Enterprrises",LEFT(SUBSTITUTE('Raw Data'!H57," ",""),1)="o", "Omega Wholesale",LEFT(SUBSTITUTE('Raw Data'!H57," ",""),4)="Tola", "Tola Ventures", LEFT(SUBSTITUTE('Raw Data'!H57," ",""),1)="T", "Tope &amp; Sons",LEFT(SUBSTITUTE('Raw Data'!H57," ",""),1)="z","Zainab Global",LEFT(SUBSTITUTE('Raw Data'!H57," ",""),2)="Ma","Maryam Ltd",LEFT(SUBSTITUTE('Raw Data'!H57," ",""),1)="j","Jide Superstores",LEFT(SUBSTITUTE('Raw Data'!H57," ",""),1)="f","Femi Tech",LEFT(SUBSTITUTE('Raw Data'!H57," ",""),1)="k","Kelvin Tech",LEFT(SUBSTITUTE('Raw Data'!H57," ",""),1)="A","Adewale Stores",LEFT(SUBSTITUTE('Raw Data'!H57," ",""),2)="Al","Alpha Retailers",LEFT(SUBSTITUTE('Raw Data'!H57," ",""),1)="b","Bright Solutions",LEFT(SUBSTITUTE('Raw Data'!H57," ",""),1)="c","Chika Mart",LEFT(SUBSTITUTE('Raw Data'!H57," ",""),1)="e","Emeka Traders")</f>
        <v>Adewale Stores</v>
      </c>
    </row>
    <row r="58" spans="1:13" x14ac:dyDescent="0.25">
      <c r="A58" s="20" t="str">
        <f>UPPER(SUBSTITUTE(SUBSTITUTE(SUBSTITUTE(CLEAN('Raw Data'!A58),"-","")," ",""),".",""))</f>
        <v>23JAN2025</v>
      </c>
      <c r="B58" s="20" t="str">
        <f>LEFT(Table1[[#This Row],[Raw Date]],2)</f>
        <v>23</v>
      </c>
      <c r="C58" s="20" t="str">
        <f>SUBSTITUTE(SUBSTITUTE(SUBSTITUTE(MID(Table1[[#This Row],[Raw Date]],3,3),"AMR","MAR"),"JNA","JAN"),"PAR","APR")</f>
        <v>JAN</v>
      </c>
      <c r="D58" s="30">
        <f>IF(YEAR(RIGHT(Table1[[#This Row],[Raw Date]],4))&lt;&gt;2025,2025,0)</f>
        <v>2025</v>
      </c>
      <c r="E58" s="20" t="str">
        <f t="shared" si="1"/>
        <v>23-JAN-2025</v>
      </c>
      <c r="F58" s="10" t="str" cm="1">
        <f t="array" ref="F58">_xlfn.IFS(LEFT(SUBSTITUTE('Raw Data'!B58," ",""),1)="s", "South", LEFT(SUBSTITUTE('Raw Data'!B58," ",""),1)="n", "North",LEFT(SUBSTITUTE('Raw Data'!B58," ",""),1)="e","East",LEFT(SUBSTITUTE('Raw Data'!B58," ",""),1)="w","West")</f>
        <v>East</v>
      </c>
      <c r="G58" s="10" t="str">
        <f>PROPER(CLEAN(SUBSTITUTE(SUBSTITUTE(SUBSTITUTE('Raw Data'!C58," ",""),",",""),".","")))</f>
        <v>Tablett8</v>
      </c>
      <c r="H58" s="12" t="str" cm="1">
        <f t="array" ref="H58">_xlfn.IFS(LEFT(SUBSTITUTE('Raw Data'!D58," ",""),2)="pe", "Peripherals",LEFT(SUBSTITUTE('Raw Data'!D58," ",""),2)="au", "Audio",LEFT(SUBSTITUTE('Raw Data'!D58," ",""),2)="co", "Computers", LEFT(SUBSTITUTE('Raw Data'!D58," ",""),1)="e", "Electronics",LEFT(SUBSTITUTE('Raw Data'!D58," ",""),2)="mo","Mobile",LEFT(SUBSTITUTE('Raw Data'!D58," ",""),2)="ph","Photography")</f>
        <v>Mobile</v>
      </c>
      <c r="I58" s="11">
        <f>'Raw Data'!E58</f>
        <v>10</v>
      </c>
      <c r="J58" s="13">
        <f>'Raw Data'!F58</f>
        <v>150000</v>
      </c>
      <c r="K58" s="17">
        <f>Table1[[#This Row],[Unit Price]]*Table1[[#This Row],[Units Sold]]</f>
        <v>1500000</v>
      </c>
      <c r="L58" s="10" t="str">
        <f>UPPER(TRIM(CLEAN(SUBSTITUTE(SUBSTITUTE(SUBSTITUTE('Raw Data'!G58,",",""),".","")," ",""))))</f>
        <v>CHINEDUNWOSU</v>
      </c>
      <c r="M58" s="16" t="str" cm="1">
        <f t="array" ref="M58">_xlfn.IFS(LEFT(SUBSTITUTE('Raw Data'!H58," ",""),1)="M", "Musa Enterprrises",LEFT(SUBSTITUTE('Raw Data'!H58," ",""),1)="o", "Omega Wholesale",LEFT(SUBSTITUTE('Raw Data'!H58," ",""),4)="Tola", "Tola Ventures", LEFT(SUBSTITUTE('Raw Data'!H58," ",""),1)="T", "Tope &amp; Sons",LEFT(SUBSTITUTE('Raw Data'!H58," ",""),1)="z","Zainab Global",LEFT(SUBSTITUTE('Raw Data'!H58," ",""),2)="Ma","Maryam Ltd",LEFT(SUBSTITUTE('Raw Data'!H58," ",""),1)="j","Jide Superstores",LEFT(SUBSTITUTE('Raw Data'!H58," ",""),1)="f","Femi Tech",LEFT(SUBSTITUTE('Raw Data'!H58," ",""),1)="k","Kelvin Tech",LEFT(SUBSTITUTE('Raw Data'!H58," ",""),1)="A","Adewale Stores",LEFT(SUBSTITUTE('Raw Data'!H58," ",""),2)="Al","Alpha Retailers",LEFT(SUBSTITUTE('Raw Data'!H58," ",""),1)="b","Bright Solutions",LEFT(SUBSTITUTE('Raw Data'!H58," ",""),1)="c","Chika Mart",LEFT(SUBSTITUTE('Raw Data'!H58," ",""),1)="e","Emeka Traders")</f>
        <v>Musa Enterprrises</v>
      </c>
    </row>
    <row r="59" spans="1:13" x14ac:dyDescent="0.25">
      <c r="A59" s="20" t="str">
        <f>UPPER(SUBSTITUTE(SUBSTITUTE(SUBSTITUTE(CLEAN('Raw Data'!A59),"-","")," ",""),".",""))</f>
        <v>16JAN2025</v>
      </c>
      <c r="B59" s="20" t="str">
        <f>LEFT(Table1[[#This Row],[Raw Date]],2)</f>
        <v>16</v>
      </c>
      <c r="C59" s="20" t="str">
        <f>SUBSTITUTE(SUBSTITUTE(SUBSTITUTE(MID(Table1[[#This Row],[Raw Date]],3,3),"AMR","MAR"),"JNA","JAN"),"PAR","APR")</f>
        <v>JAN</v>
      </c>
      <c r="D59" s="30">
        <f>IF(YEAR(RIGHT(Table1[[#This Row],[Raw Date]],4))&lt;&gt;2025,2025,0)</f>
        <v>2025</v>
      </c>
      <c r="E59" s="20" t="str">
        <f t="shared" si="1"/>
        <v>16-JAN-2025</v>
      </c>
      <c r="F59" s="10" t="str" cm="1">
        <f t="array" ref="F59">_xlfn.IFS(LEFT(SUBSTITUTE('Raw Data'!B59," ",""),1)="s", "South", LEFT(SUBSTITUTE('Raw Data'!B59," ",""),1)="n", "North",LEFT(SUBSTITUTE('Raw Data'!B59," ",""),1)="e","East",LEFT(SUBSTITUTE('Raw Data'!B59," ",""),1)="w","West")</f>
        <v>East</v>
      </c>
      <c r="G59" s="10" t="str">
        <f>PROPER(CLEAN(SUBSTITUTE(SUBSTITUTE(SUBSTITUTE('Raw Data'!C59," ",""),",",""),".","")))</f>
        <v>Speakers10</v>
      </c>
      <c r="H59" s="12" t="str" cm="1">
        <f t="array" ref="H59">_xlfn.IFS(LEFT(SUBSTITUTE('Raw Data'!D59," ",""),2)="pe", "Peripherals",LEFT(SUBSTITUTE('Raw Data'!D59," ",""),2)="au", "Audio",LEFT(SUBSTITUTE('Raw Data'!D59," ",""),2)="co", "Computers", LEFT(SUBSTITUTE('Raw Data'!D59," ",""),1)="e", "Electronics",LEFT(SUBSTITUTE('Raw Data'!D59," ",""),2)="mo","Mobile",LEFT(SUBSTITUTE('Raw Data'!D59," ",""),2)="ph","Photography")</f>
        <v>Audio</v>
      </c>
      <c r="I59" s="11">
        <f>'Raw Data'!E59</f>
        <v>10</v>
      </c>
      <c r="J59" s="13">
        <f>'Raw Data'!F59</f>
        <v>85000</v>
      </c>
      <c r="K59" s="17">
        <f>Table1[[#This Row],[Unit Price]]*Table1[[#This Row],[Units Sold]]</f>
        <v>850000</v>
      </c>
      <c r="L59" s="10" t="str">
        <f>UPPER(TRIM(CLEAN(SUBSTITUTE(SUBSTITUTE(SUBSTITUTE('Raw Data'!G59,",",""),".","")," ",""))))</f>
        <v>AISHABELLO</v>
      </c>
      <c r="M59" s="16" t="str" cm="1">
        <f t="array" ref="M59">_xlfn.IFS(LEFT(SUBSTITUTE('Raw Data'!H59," ",""),1)="M", "Musa Enterprrises",LEFT(SUBSTITUTE('Raw Data'!H59," ",""),1)="o", "Omega Wholesale",LEFT(SUBSTITUTE('Raw Data'!H59," ",""),4)="Tola", "Tola Ventures", LEFT(SUBSTITUTE('Raw Data'!H59," ",""),1)="T", "Tope &amp; Sons",LEFT(SUBSTITUTE('Raw Data'!H59," ",""),1)="z","Zainab Global",LEFT(SUBSTITUTE('Raw Data'!H59," ",""),2)="Ma","Maryam Ltd",LEFT(SUBSTITUTE('Raw Data'!H59," ",""),1)="j","Jide Superstores",LEFT(SUBSTITUTE('Raw Data'!H59," ",""),1)="f","Femi Tech",LEFT(SUBSTITUTE('Raw Data'!H59," ",""),1)="k","Kelvin Tech",LEFT(SUBSTITUTE('Raw Data'!H59," ",""),1)="A","Adewale Stores",LEFT(SUBSTITUTE('Raw Data'!H59," ",""),2)="Al","Alpha Retailers",LEFT(SUBSTITUTE('Raw Data'!H59," ",""),1)="b","Bright Solutions",LEFT(SUBSTITUTE('Raw Data'!H59," ",""),1)="c","Chika Mart",LEFT(SUBSTITUTE('Raw Data'!H59," ",""),1)="e","Emeka Traders")</f>
        <v>Kelvin Tech</v>
      </c>
    </row>
    <row r="60" spans="1:13" x14ac:dyDescent="0.25">
      <c r="A60" s="20" t="str">
        <f>UPPER(SUBSTITUTE(SUBSTITUTE(SUBSTITUTE(CLEAN('Raw Data'!A60),"-","")," ",""),".",""))</f>
        <v>05FEB2025</v>
      </c>
      <c r="B60" s="20" t="str">
        <f>LEFT(Table1[[#This Row],[Raw Date]],2)</f>
        <v>05</v>
      </c>
      <c r="C60" s="20" t="str">
        <f>SUBSTITUTE(SUBSTITUTE(SUBSTITUTE(MID(Table1[[#This Row],[Raw Date]],3,3),"AMR","MAR"),"JNA","JAN"),"PAR","APR")</f>
        <v>FEB</v>
      </c>
      <c r="D60" s="30">
        <f>IF(YEAR(RIGHT(Table1[[#This Row],[Raw Date]],4))&lt;&gt;2025,2025,0)</f>
        <v>2025</v>
      </c>
      <c r="E60" s="20" t="str">
        <f t="shared" si="1"/>
        <v>05-FEB-2025</v>
      </c>
      <c r="F60" s="10" t="str" cm="1">
        <f t="array" ref="F60">_xlfn.IFS(LEFT(SUBSTITUTE('Raw Data'!B60," ",""),1)="s", "South", LEFT(SUBSTITUTE('Raw Data'!B60," ",""),1)="n", "North",LEFT(SUBSTITUTE('Raw Data'!B60," ",""),1)="e","East",LEFT(SUBSTITUTE('Raw Data'!B60," ",""),1)="w","West")</f>
        <v>South</v>
      </c>
      <c r="G60" s="10" t="str">
        <f>PROPER(CLEAN(SUBSTITUTE(SUBSTITUTE(SUBSTITUTE('Raw Data'!C60," ",""),",",""),".","")))</f>
        <v>Laptopa15</v>
      </c>
      <c r="H60" s="12" t="str" cm="1">
        <f t="array" ref="H60">_xlfn.IFS(LEFT(SUBSTITUTE('Raw Data'!D60," ",""),2)="pe", "Peripherals",LEFT(SUBSTITUTE('Raw Data'!D60," ",""),2)="au", "Audio",LEFT(SUBSTITUTE('Raw Data'!D60," ",""),2)="co", "Computers", LEFT(SUBSTITUTE('Raw Data'!D60," ",""),1)="e", "Electronics",LEFT(SUBSTITUTE('Raw Data'!D60," ",""),2)="mo","Mobile",LEFT(SUBSTITUTE('Raw Data'!D60," ",""),2)="ph","Photography")</f>
        <v>Computers</v>
      </c>
      <c r="I60" s="11">
        <f>'Raw Data'!E60</f>
        <v>5</v>
      </c>
      <c r="J60" s="13">
        <f>'Raw Data'!F60</f>
        <v>25000</v>
      </c>
      <c r="K60" s="17">
        <f>Table1[[#This Row],[Unit Price]]*Table1[[#This Row],[Units Sold]]</f>
        <v>125000</v>
      </c>
      <c r="L60" s="10" t="str">
        <f>UPPER(TRIM(CLEAN(SUBSTITUTE(SUBSTITUTE(SUBSTITUTE('Raw Data'!G60,",",""),".","")," ",""))))</f>
        <v>AISHABELLO</v>
      </c>
      <c r="M60" s="16" t="str" cm="1">
        <f t="array" ref="M60">_xlfn.IFS(LEFT(SUBSTITUTE('Raw Data'!H60," ",""),1)="M", "Musa Enterprrises",LEFT(SUBSTITUTE('Raw Data'!H60," ",""),1)="o", "Omega Wholesale",LEFT(SUBSTITUTE('Raw Data'!H60," ",""),4)="Tola", "Tola Ventures", LEFT(SUBSTITUTE('Raw Data'!H60," ",""),1)="T", "Tope &amp; Sons",LEFT(SUBSTITUTE('Raw Data'!H60," ",""),1)="z","Zainab Global",LEFT(SUBSTITUTE('Raw Data'!H60," ",""),2)="Ma","Maryam Ltd",LEFT(SUBSTITUTE('Raw Data'!H60," ",""),1)="j","Jide Superstores",LEFT(SUBSTITUTE('Raw Data'!H60," ",""),1)="f","Femi Tech",LEFT(SUBSTITUTE('Raw Data'!H60," ",""),1)="k","Kelvin Tech",LEFT(SUBSTITUTE('Raw Data'!H60," ",""),1)="A","Adewale Stores",LEFT(SUBSTITUTE('Raw Data'!H60," ",""),2)="Al","Alpha Retailers",LEFT(SUBSTITUTE('Raw Data'!H60," ",""),1)="b","Bright Solutions",LEFT(SUBSTITUTE('Raw Data'!H60," ",""),1)="c","Chika Mart",LEFT(SUBSTITUTE('Raw Data'!H60," ",""),1)="e","Emeka Traders")</f>
        <v>Zainab Global</v>
      </c>
    </row>
    <row r="61" spans="1:13" x14ac:dyDescent="0.25">
      <c r="A61" s="20" t="str">
        <f>UPPER(SUBSTITUTE(SUBSTITUTE(SUBSTITUTE(CLEAN('Raw Data'!A61),"-","")," ",""),".",""))</f>
        <v>25MAY2025</v>
      </c>
      <c r="B61" s="20" t="str">
        <f>LEFT(Table1[[#This Row],[Raw Date]],2)</f>
        <v>25</v>
      </c>
      <c r="C61" s="20" t="str">
        <f>SUBSTITUTE(SUBSTITUTE(SUBSTITUTE(MID(Table1[[#This Row],[Raw Date]],3,3),"AMR","MAR"),"JNA","JAN"),"PAR","APR")</f>
        <v>MAY</v>
      </c>
      <c r="D61" s="30">
        <f>IF(YEAR(RIGHT(Table1[[#This Row],[Raw Date]],4))&lt;&gt;2025,2025,0)</f>
        <v>2025</v>
      </c>
      <c r="E61" s="20" t="str">
        <f t="shared" si="1"/>
        <v>25-MAY-2025</v>
      </c>
      <c r="F61" s="10" t="str" cm="1">
        <f t="array" ref="F61">_xlfn.IFS(LEFT(SUBSTITUTE('Raw Data'!B61," ",""),1)="s", "South", LEFT(SUBSTITUTE('Raw Data'!B61," ",""),1)="n", "North",LEFT(SUBSTITUTE('Raw Data'!B61," ",""),1)="e","East",LEFT(SUBSTITUTE('Raw Data'!B61," ",""),1)="w","West")</f>
        <v>East</v>
      </c>
      <c r="G61" s="10" t="str">
        <f>PROPER(CLEAN(SUBSTITUTE(SUBSTITUTE(SUBSTITUTE('Raw Data'!C61," ",""),",",""),".","")))</f>
        <v>Tablett8</v>
      </c>
      <c r="H61" s="12" t="str" cm="1">
        <f t="array" ref="H61">_xlfn.IFS(LEFT(SUBSTITUTE('Raw Data'!D61," ",""),2)="pe", "Peripherals",LEFT(SUBSTITUTE('Raw Data'!D61," ",""),2)="au", "Audio",LEFT(SUBSTITUTE('Raw Data'!D61," ",""),2)="co", "Computers", LEFT(SUBSTITUTE('Raw Data'!D61," ",""),1)="e", "Electronics",LEFT(SUBSTITUTE('Raw Data'!D61," ",""),2)="mo","Mobile",LEFT(SUBSTITUTE('Raw Data'!D61," ",""),2)="ph","Photography")</f>
        <v>Mobile</v>
      </c>
      <c r="I61" s="11">
        <f>'Raw Data'!E61</f>
        <v>1</v>
      </c>
      <c r="J61" s="13">
        <f>'Raw Data'!F61</f>
        <v>150000</v>
      </c>
      <c r="K61" s="17">
        <f>Table1[[#This Row],[Unit Price]]*Table1[[#This Row],[Units Sold]]</f>
        <v>150000</v>
      </c>
      <c r="L61" s="10" t="str">
        <f>UPPER(TRIM(CLEAN(SUBSTITUTE(SUBSTITUTE(SUBSTITUTE('Raw Data'!G61,",",""),".","")," ",""))))</f>
        <v>GRACEAMOS</v>
      </c>
      <c r="M61" s="16" t="str" cm="1">
        <f t="array" ref="M61">_xlfn.IFS(LEFT(SUBSTITUTE('Raw Data'!H61," ",""),1)="M", "Musa Enterprrises",LEFT(SUBSTITUTE('Raw Data'!H61," ",""),1)="o", "Omega Wholesale",LEFT(SUBSTITUTE('Raw Data'!H61," ",""),4)="Tola", "Tola Ventures", LEFT(SUBSTITUTE('Raw Data'!H61," ",""),1)="T", "Tope &amp; Sons",LEFT(SUBSTITUTE('Raw Data'!H61," ",""),1)="z","Zainab Global",LEFT(SUBSTITUTE('Raw Data'!H61," ",""),2)="Ma","Maryam Ltd",LEFT(SUBSTITUTE('Raw Data'!H61," ",""),1)="j","Jide Superstores",LEFT(SUBSTITUTE('Raw Data'!H61," ",""),1)="f","Femi Tech",LEFT(SUBSTITUTE('Raw Data'!H61," ",""),1)="k","Kelvin Tech",LEFT(SUBSTITUTE('Raw Data'!H61," ",""),1)="A","Adewale Stores",LEFT(SUBSTITUTE('Raw Data'!H61," ",""),2)="Al","Alpha Retailers",LEFT(SUBSTITUTE('Raw Data'!H61," ",""),1)="b","Bright Solutions",LEFT(SUBSTITUTE('Raw Data'!H61," ",""),1)="c","Chika Mart",LEFT(SUBSTITUTE('Raw Data'!H61," ",""),1)="e","Emeka Traders")</f>
        <v>Musa Enterprrises</v>
      </c>
    </row>
    <row r="62" spans="1:13" x14ac:dyDescent="0.25">
      <c r="A62" s="20" t="str">
        <f>UPPER(SUBSTITUTE(SUBSTITUTE(SUBSTITUTE(CLEAN('Raw Data'!A62),"-","")," ",""),".",""))</f>
        <v>06JAN2025</v>
      </c>
      <c r="B62" s="20" t="str">
        <f>LEFT(Table1[[#This Row],[Raw Date]],2)</f>
        <v>06</v>
      </c>
      <c r="C62" s="20" t="str">
        <f>SUBSTITUTE(SUBSTITUTE(SUBSTITUTE(MID(Table1[[#This Row],[Raw Date]],3,3),"AMR","MAR"),"JNA","JAN"),"PAR","APR")</f>
        <v>JAN</v>
      </c>
      <c r="D62" s="30">
        <f>IF(YEAR(RIGHT(Table1[[#This Row],[Raw Date]],4))&lt;&gt;2025,2025,0)</f>
        <v>2025</v>
      </c>
      <c r="E62" s="20" t="str">
        <f t="shared" si="1"/>
        <v>06-JAN-2025</v>
      </c>
      <c r="F62" s="10" t="str" cm="1">
        <f t="array" ref="F62">_xlfn.IFS(LEFT(SUBSTITUTE('Raw Data'!B62," ",""),1)="s", "South", LEFT(SUBSTITUTE('Raw Data'!B62," ",""),1)="n", "North",LEFT(SUBSTITUTE('Raw Data'!B62," ",""),1)="e","East",LEFT(SUBSTITUTE('Raw Data'!B62," ",""),1)="w","West")</f>
        <v>South</v>
      </c>
      <c r="G62" s="10" t="str">
        <f>PROPER(CLEAN(SUBSTITUTE(SUBSTITUTE(SUBSTITUTE('Raw Data'!C62," ",""),",",""),".","")))</f>
        <v>Tablett8</v>
      </c>
      <c r="H62" s="12" t="str" cm="1">
        <f t="array" ref="H62">_xlfn.IFS(LEFT(SUBSTITUTE('Raw Data'!D62," ",""),2)="pe", "Peripherals",LEFT(SUBSTITUTE('Raw Data'!D62," ",""),2)="au", "Audio",LEFT(SUBSTITUTE('Raw Data'!D62," ",""),2)="co", "Computers", LEFT(SUBSTITUTE('Raw Data'!D62," ",""),1)="e", "Electronics",LEFT(SUBSTITUTE('Raw Data'!D62," ",""),2)="mo","Mobile",LEFT(SUBSTITUTE('Raw Data'!D62," ",""),2)="ph","Photography")</f>
        <v>Mobile</v>
      </c>
      <c r="I62" s="11">
        <f>'Raw Data'!E62</f>
        <v>20</v>
      </c>
      <c r="J62" s="13">
        <f>'Raw Data'!F62</f>
        <v>150000</v>
      </c>
      <c r="K62" s="17">
        <f>Table1[[#This Row],[Unit Price]]*Table1[[#This Row],[Units Sold]]</f>
        <v>3000000</v>
      </c>
      <c r="L62" s="10" t="str">
        <f>UPPER(TRIM(CLEAN(SUBSTITUTE(SUBSTITUTE(SUBSTITUTE('Raw Data'!G62,",",""),".","")," ",""))))</f>
        <v>AISHABELLO</v>
      </c>
      <c r="M62" s="16" t="str" cm="1">
        <f t="array" ref="M62">_xlfn.IFS(LEFT(SUBSTITUTE('Raw Data'!H62," ",""),1)="M", "Musa Enterprrises",LEFT(SUBSTITUTE('Raw Data'!H62," ",""),1)="o", "Omega Wholesale",LEFT(SUBSTITUTE('Raw Data'!H62," ",""),4)="Tola", "Tola Ventures", LEFT(SUBSTITUTE('Raw Data'!H62," ",""),1)="T", "Tope &amp; Sons",LEFT(SUBSTITUTE('Raw Data'!H62," ",""),1)="z","Zainab Global",LEFT(SUBSTITUTE('Raw Data'!H62," ",""),2)="Ma","Maryam Ltd",LEFT(SUBSTITUTE('Raw Data'!H62," ",""),1)="j","Jide Superstores",LEFT(SUBSTITUTE('Raw Data'!H62," ",""),1)="f","Femi Tech",LEFT(SUBSTITUTE('Raw Data'!H62," ",""),1)="k","Kelvin Tech",LEFT(SUBSTITUTE('Raw Data'!H62," ",""),1)="A","Adewale Stores",LEFT(SUBSTITUTE('Raw Data'!H62," ",""),2)="Al","Alpha Retailers",LEFT(SUBSTITUTE('Raw Data'!H62," ",""),1)="b","Bright Solutions",LEFT(SUBSTITUTE('Raw Data'!H62," ",""),1)="c","Chika Mart",LEFT(SUBSTITUTE('Raw Data'!H62," ",""),1)="e","Emeka Traders")</f>
        <v>Emeka Traders</v>
      </c>
    </row>
    <row r="63" spans="1:13" x14ac:dyDescent="0.25">
      <c r="A63" s="20" t="str">
        <f>UPPER(SUBSTITUTE(SUBSTITUTE(SUBSTITUTE(CLEAN('Raw Data'!A63),"-","")," ",""),".",""))</f>
        <v>06FEB2025</v>
      </c>
      <c r="B63" s="20" t="str">
        <f>LEFT(Table1[[#This Row],[Raw Date]],2)</f>
        <v>06</v>
      </c>
      <c r="C63" s="20" t="str">
        <f>SUBSTITUTE(SUBSTITUTE(SUBSTITUTE(MID(Table1[[#This Row],[Raw Date]],3,3),"AMR","MAR"),"JNA","JAN"),"PAR","APR")</f>
        <v>FEB</v>
      </c>
      <c r="D63" s="30">
        <f>IF(YEAR(RIGHT(Table1[[#This Row],[Raw Date]],4))&lt;&gt;2025,2025,0)</f>
        <v>2025</v>
      </c>
      <c r="E63" s="20" t="str">
        <f t="shared" si="1"/>
        <v>06-FEB-2025</v>
      </c>
      <c r="F63" s="10" t="str" cm="1">
        <f t="array" ref="F63">_xlfn.IFS(LEFT(SUBSTITUTE('Raw Data'!B63," ",""),1)="s", "South", LEFT(SUBSTITUTE('Raw Data'!B63," ",""),1)="n", "North",LEFT(SUBSTITUTE('Raw Data'!B63," ",""),1)="e","East",LEFT(SUBSTITUTE('Raw Data'!B63," ",""),1)="w","West")</f>
        <v>South</v>
      </c>
      <c r="G63" s="10" t="str">
        <f>PROPER(CLEAN(SUBSTITUTE(SUBSTITUTE(SUBSTITUTE('Raw Data'!C63," ",""),",",""),".","")))</f>
        <v>Tv43Q</v>
      </c>
      <c r="H63" s="12" t="str" cm="1">
        <f t="array" ref="H63">_xlfn.IFS(LEFT(SUBSTITUTE('Raw Data'!D63," ",""),2)="pe", "Peripherals",LEFT(SUBSTITUTE('Raw Data'!D63," ",""),2)="au", "Audio",LEFT(SUBSTITUTE('Raw Data'!D63," ",""),2)="co", "Computers", LEFT(SUBSTITUTE('Raw Data'!D63," ",""),1)="e", "Electronics",LEFT(SUBSTITUTE('Raw Data'!D63," ",""),2)="mo","Mobile",LEFT(SUBSTITUTE('Raw Data'!D63," ",""),2)="ph","Photography")</f>
        <v>Electronics</v>
      </c>
      <c r="I63" s="11">
        <f>'Raw Data'!E63</f>
        <v>11</v>
      </c>
      <c r="J63" s="13">
        <f>'Raw Data'!F63</f>
        <v>350000</v>
      </c>
      <c r="K63" s="17">
        <f>Table1[[#This Row],[Unit Price]]*Table1[[#This Row],[Units Sold]]</f>
        <v>3850000</v>
      </c>
      <c r="L63" s="10" t="str">
        <f>UPPER(TRIM(CLEAN(SUBSTITUTE(SUBSTITUTE(SUBSTITUTE('Raw Data'!G63,",",""),".","")," ",""))))</f>
        <v>CHINEDUNWOSU</v>
      </c>
      <c r="M63" s="16" t="str" cm="1">
        <f t="array" ref="M63">_xlfn.IFS(LEFT(SUBSTITUTE('Raw Data'!H63," ",""),1)="M", "Musa Enterprrises",LEFT(SUBSTITUTE('Raw Data'!H63," ",""),1)="o", "Omega Wholesale",LEFT(SUBSTITUTE('Raw Data'!H63," ",""),4)="Tola", "Tola Ventures", LEFT(SUBSTITUTE('Raw Data'!H63," ",""),1)="T", "Tope &amp; Sons",LEFT(SUBSTITUTE('Raw Data'!H63," ",""),1)="z","Zainab Global",LEFT(SUBSTITUTE('Raw Data'!H63," ",""),2)="Ma","Maryam Ltd",LEFT(SUBSTITUTE('Raw Data'!H63," ",""),1)="j","Jide Superstores",LEFT(SUBSTITUTE('Raw Data'!H63," ",""),1)="f","Femi Tech",LEFT(SUBSTITUTE('Raw Data'!H63," ",""),1)="k","Kelvin Tech",LEFT(SUBSTITUTE('Raw Data'!H63," ",""),1)="A","Adewale Stores",LEFT(SUBSTITUTE('Raw Data'!H63," ",""),2)="Al","Alpha Retailers",LEFT(SUBSTITUTE('Raw Data'!H63," ",""),1)="b","Bright Solutions",LEFT(SUBSTITUTE('Raw Data'!H63," ",""),1)="c","Chika Mart",LEFT(SUBSTITUTE('Raw Data'!H63," ",""),1)="e","Emeka Traders")</f>
        <v>Tola Ventures</v>
      </c>
    </row>
    <row r="64" spans="1:13" x14ac:dyDescent="0.25">
      <c r="A64" s="20" t="str">
        <f>UPPER(SUBSTITUTE(SUBSTITUTE(SUBSTITUTE(CLEAN('Raw Data'!A64),"-","")," ",""),".",""))</f>
        <v>14JAN2025</v>
      </c>
      <c r="B64" s="20" t="str">
        <f>LEFT(Table1[[#This Row],[Raw Date]],2)</f>
        <v>14</v>
      </c>
      <c r="C64" s="20" t="str">
        <f>SUBSTITUTE(SUBSTITUTE(SUBSTITUTE(MID(Table1[[#This Row],[Raw Date]],3,3),"AMR","MAR"),"JNA","JAN"),"PAR","APR")</f>
        <v>JAN</v>
      </c>
      <c r="D64" s="30">
        <f>IF(YEAR(RIGHT(Table1[[#This Row],[Raw Date]],4))&lt;&gt;2025,2025,0)</f>
        <v>2025</v>
      </c>
      <c r="E64" s="20" t="str">
        <f t="shared" si="1"/>
        <v>14-JAN-2025</v>
      </c>
      <c r="F64" s="10" t="str" cm="1">
        <f t="array" ref="F64">_xlfn.IFS(LEFT(SUBSTITUTE('Raw Data'!B64," ",""),1)="s", "South", LEFT(SUBSTITUTE('Raw Data'!B64," ",""),1)="n", "North",LEFT(SUBSTITUTE('Raw Data'!B64," ",""),1)="e","East",LEFT(SUBSTITUTE('Raw Data'!B64," ",""),1)="w","West")</f>
        <v>East</v>
      </c>
      <c r="G64" s="10" t="str">
        <f>PROPER(CLEAN(SUBSTITUTE(SUBSTITUTE(SUBSTITUTE('Raw Data'!C64," ",""),",",""),".","")))</f>
        <v>Laptopa15</v>
      </c>
      <c r="H64" s="12" t="str" cm="1">
        <f t="array" ref="H64">_xlfn.IFS(LEFT(SUBSTITUTE('Raw Data'!D64," ",""),2)="pe", "Peripherals",LEFT(SUBSTITUTE('Raw Data'!D64," ",""),2)="au", "Audio",LEFT(SUBSTITUTE('Raw Data'!D64," ",""),2)="co", "Computers", LEFT(SUBSTITUTE('Raw Data'!D64," ",""),1)="e", "Electronics",LEFT(SUBSTITUTE('Raw Data'!D64," ",""),2)="mo","Mobile",LEFT(SUBSTITUTE('Raw Data'!D64," ",""),2)="ph","Photography")</f>
        <v>Computers</v>
      </c>
      <c r="I64" s="11">
        <f>'Raw Data'!E64</f>
        <v>14</v>
      </c>
      <c r="J64" s="13">
        <f>'Raw Data'!F64</f>
        <v>250000</v>
      </c>
      <c r="K64" s="17">
        <f>Table1[[#This Row],[Unit Price]]*Table1[[#This Row],[Units Sold]]</f>
        <v>3500000</v>
      </c>
      <c r="L64" s="10" t="str">
        <f>UPPER(TRIM(CLEAN(SUBSTITUTE(SUBSTITUTE(SUBSTITUTE('Raw Data'!G64,",",""),".","")," ",""))))</f>
        <v>CHINEDUNWOSU</v>
      </c>
      <c r="M64" s="16" t="str" cm="1">
        <f t="array" ref="M64">_xlfn.IFS(LEFT(SUBSTITUTE('Raw Data'!H64," ",""),1)="M", "Musa Enterprrises",LEFT(SUBSTITUTE('Raw Data'!H64," ",""),1)="o", "Omega Wholesale",LEFT(SUBSTITUTE('Raw Data'!H64," ",""),4)="Tola", "Tola Ventures", LEFT(SUBSTITUTE('Raw Data'!H64," ",""),1)="T", "Tope &amp; Sons",LEFT(SUBSTITUTE('Raw Data'!H64," ",""),1)="z","Zainab Global",LEFT(SUBSTITUTE('Raw Data'!H64," ",""),2)="Ma","Maryam Ltd",LEFT(SUBSTITUTE('Raw Data'!H64," ",""),1)="j","Jide Superstores",LEFT(SUBSTITUTE('Raw Data'!H64," ",""),1)="f","Femi Tech",LEFT(SUBSTITUTE('Raw Data'!H64," ",""),1)="k","Kelvin Tech",LEFT(SUBSTITUTE('Raw Data'!H64," ",""),1)="A","Adewale Stores",LEFT(SUBSTITUTE('Raw Data'!H64," ",""),2)="Al","Alpha Retailers",LEFT(SUBSTITUTE('Raw Data'!H64," ",""),1)="b","Bright Solutions",LEFT(SUBSTITUTE('Raw Data'!H64," ",""),1)="c","Chika Mart",LEFT(SUBSTITUTE('Raw Data'!H64," ",""),1)="e","Emeka Traders")</f>
        <v>Chika Mart</v>
      </c>
    </row>
    <row r="65" spans="1:13" x14ac:dyDescent="0.25">
      <c r="A65" s="20" t="str">
        <f>UPPER(SUBSTITUTE(SUBSTITUTE(SUBSTITUTE(CLEAN('Raw Data'!A65),"-","")," ",""),".",""))</f>
        <v>02MAY2025</v>
      </c>
      <c r="B65" s="20" t="str">
        <f>LEFT(Table1[[#This Row],[Raw Date]],2)</f>
        <v>02</v>
      </c>
      <c r="C65" s="20" t="str">
        <f>SUBSTITUTE(SUBSTITUTE(SUBSTITUTE(MID(Table1[[#This Row],[Raw Date]],3,3),"AMR","MAR"),"JNA","JAN"),"PAR","APR")</f>
        <v>MAY</v>
      </c>
      <c r="D65" s="30">
        <f>IF(YEAR(RIGHT(Table1[[#This Row],[Raw Date]],4))&lt;&gt;2025,2025,0)</f>
        <v>2025</v>
      </c>
      <c r="E65" s="20" t="str">
        <f t="shared" si="1"/>
        <v>02-MAY-2025</v>
      </c>
      <c r="F65" s="10" t="str" cm="1">
        <f t="array" ref="F65">_xlfn.IFS(LEFT(SUBSTITUTE('Raw Data'!B65," ",""),1)="s", "South", LEFT(SUBSTITUTE('Raw Data'!B65," ",""),1)="n", "North",LEFT(SUBSTITUTE('Raw Data'!B65," ",""),1)="e","East",LEFT(SUBSTITUTE('Raw Data'!B65," ",""),1)="w","West")</f>
        <v>West</v>
      </c>
      <c r="G65" s="10" t="str">
        <f>PROPER(CLEAN(SUBSTITUTE(SUBSTITUTE(SUBSTITUTE('Raw Data'!C65," ",""),",",""),".","")))</f>
        <v>Tablett8</v>
      </c>
      <c r="H65" s="12" t="str" cm="1">
        <f t="array" ref="H65">_xlfn.IFS(LEFT(SUBSTITUTE('Raw Data'!D65," ",""),2)="pe", "Peripherals",LEFT(SUBSTITUTE('Raw Data'!D65," ",""),2)="au", "Audio",LEFT(SUBSTITUTE('Raw Data'!D65," ",""),2)="co", "Computers", LEFT(SUBSTITUTE('Raw Data'!D65," ",""),1)="e", "Electronics",LEFT(SUBSTITUTE('Raw Data'!D65," ",""),2)="mo","Mobile",LEFT(SUBSTITUTE('Raw Data'!D65," ",""),2)="ph","Photography")</f>
        <v>Mobile</v>
      </c>
      <c r="I65" s="11">
        <f>'Raw Data'!E65</f>
        <v>3</v>
      </c>
      <c r="J65" s="13">
        <f>'Raw Data'!F65</f>
        <v>150000</v>
      </c>
      <c r="K65" s="17">
        <f>Table1[[#This Row],[Unit Price]]*Table1[[#This Row],[Units Sold]]</f>
        <v>450000</v>
      </c>
      <c r="L65" s="10" t="str">
        <f>UPPER(TRIM(CLEAN(SUBSTITUTE(SUBSTITUTE(SUBSTITUTE('Raw Data'!G65,",",""),".","")," ",""))))</f>
        <v>AISHABELLO</v>
      </c>
      <c r="M65" s="16" t="str" cm="1">
        <f t="array" ref="M65">_xlfn.IFS(LEFT(SUBSTITUTE('Raw Data'!H65," ",""),1)="M", "Musa Enterprrises",LEFT(SUBSTITUTE('Raw Data'!H65," ",""),1)="o", "Omega Wholesale",LEFT(SUBSTITUTE('Raw Data'!H65," ",""),4)="Tola", "Tola Ventures", LEFT(SUBSTITUTE('Raw Data'!H65," ",""),1)="T", "Tope &amp; Sons",LEFT(SUBSTITUTE('Raw Data'!H65," ",""),1)="z","Zainab Global",LEFT(SUBSTITUTE('Raw Data'!H65," ",""),2)="Ma","Maryam Ltd",LEFT(SUBSTITUTE('Raw Data'!H65," ",""),1)="j","Jide Superstores",LEFT(SUBSTITUTE('Raw Data'!H65," ",""),1)="f","Femi Tech",LEFT(SUBSTITUTE('Raw Data'!H65," ",""),1)="k","Kelvin Tech",LEFT(SUBSTITUTE('Raw Data'!H65," ",""),1)="A","Adewale Stores",LEFT(SUBSTITUTE('Raw Data'!H65," ",""),2)="Al","Alpha Retailers",LEFT(SUBSTITUTE('Raw Data'!H65," ",""),1)="b","Bright Solutions",LEFT(SUBSTITUTE('Raw Data'!H65," ",""),1)="c","Chika Mart",LEFT(SUBSTITUTE('Raw Data'!H65," ",""),1)="e","Emeka Traders")</f>
        <v>Bright Solutions</v>
      </c>
    </row>
    <row r="66" spans="1:13" x14ac:dyDescent="0.25">
      <c r="A66" s="20" t="str">
        <f>UPPER(SUBSTITUTE(SUBSTITUTE(SUBSTITUTE(CLEAN('Raw Data'!A66),"-","")," ",""),".",""))</f>
        <v>17JUN2205</v>
      </c>
      <c r="B66" s="20" t="str">
        <f>LEFT(Table1[[#This Row],[Raw Date]],2)</f>
        <v>17</v>
      </c>
      <c r="C66" s="20" t="str">
        <f>SUBSTITUTE(SUBSTITUTE(SUBSTITUTE(MID(Table1[[#This Row],[Raw Date]],3,3),"AMR","MAR"),"JNA","JAN"),"PAR","APR")</f>
        <v>JUN</v>
      </c>
      <c r="D66" s="30">
        <f>IF(YEAR(RIGHT(Table1[[#This Row],[Raw Date]],4))&lt;&gt;2025,2025,0)</f>
        <v>2025</v>
      </c>
      <c r="E66" s="20" t="str">
        <f t="shared" ref="E66:E97" si="2">_xlfn.CONCAT(B66&amp;"-"&amp;C66&amp;"-"&amp;D66)</f>
        <v>17-JUN-2025</v>
      </c>
      <c r="F66" s="10" t="str" cm="1">
        <f t="array" ref="F66">_xlfn.IFS(LEFT(SUBSTITUTE('Raw Data'!B66," ",""),1)="s", "South", LEFT(SUBSTITUTE('Raw Data'!B66," ",""),1)="n", "North",LEFT(SUBSTITUTE('Raw Data'!B66," ",""),1)="e","East",LEFT(SUBSTITUTE('Raw Data'!B66," ",""),1)="w","West")</f>
        <v>East</v>
      </c>
      <c r="G66" s="10" t="str">
        <f>PROPER(CLEAN(SUBSTITUTE(SUBSTITUTE(SUBSTITUTE('Raw Data'!C66," ",""),",",""),".","")))</f>
        <v>Speakers10</v>
      </c>
      <c r="H66" s="12" t="str" cm="1">
        <f t="array" ref="H66">_xlfn.IFS(LEFT(SUBSTITUTE('Raw Data'!D66," ",""),2)="pe", "Peripherals",LEFT(SUBSTITUTE('Raw Data'!D66," ",""),2)="au", "Audio",LEFT(SUBSTITUTE('Raw Data'!D66," ",""),2)="co", "Computers", LEFT(SUBSTITUTE('Raw Data'!D66," ",""),1)="e", "Electronics",LEFT(SUBSTITUTE('Raw Data'!D66," ",""),2)="mo","Mobile",LEFT(SUBSTITUTE('Raw Data'!D66," ",""),2)="ph","Photography")</f>
        <v>Audio</v>
      </c>
      <c r="I66" s="11">
        <f>'Raw Data'!E66</f>
        <v>6</v>
      </c>
      <c r="J66" s="13">
        <f>'Raw Data'!F66</f>
        <v>85000</v>
      </c>
      <c r="K66" s="17">
        <f>Table1[[#This Row],[Unit Price]]*Table1[[#This Row],[Units Sold]]</f>
        <v>510000</v>
      </c>
      <c r="L66" s="10" t="str">
        <f>UPPER(TRIM(CLEAN(SUBSTITUTE(SUBSTITUTE(SUBSTITUTE('Raw Data'!G66,",",""),".","")," ",""))))</f>
        <v>FOLABALOGUN</v>
      </c>
      <c r="M66" s="16" t="str" cm="1">
        <f t="array" ref="M66">_xlfn.IFS(LEFT(SUBSTITUTE('Raw Data'!H66," ",""),1)="M", "Musa Enterprrises",LEFT(SUBSTITUTE('Raw Data'!H66," ",""),1)="o", "Omega Wholesale",LEFT(SUBSTITUTE('Raw Data'!H66," ",""),4)="Tola", "Tola Ventures", LEFT(SUBSTITUTE('Raw Data'!H66," ",""),1)="T", "Tope &amp; Sons",LEFT(SUBSTITUTE('Raw Data'!H66," ",""),1)="z","Zainab Global",LEFT(SUBSTITUTE('Raw Data'!H66," ",""),2)="Ma","Maryam Ltd",LEFT(SUBSTITUTE('Raw Data'!H66," ",""),1)="j","Jide Superstores",LEFT(SUBSTITUTE('Raw Data'!H66," ",""),1)="f","Femi Tech",LEFT(SUBSTITUTE('Raw Data'!H66," ",""),1)="k","Kelvin Tech",LEFT(SUBSTITUTE('Raw Data'!H66," ",""),1)="A","Adewale Stores",LEFT(SUBSTITUTE('Raw Data'!H66," ",""),2)="Al","Alpha Retailers",LEFT(SUBSTITUTE('Raw Data'!H66," ",""),1)="b","Bright Solutions",LEFT(SUBSTITUTE('Raw Data'!H66," ",""),1)="c","Chika Mart",LEFT(SUBSTITUTE('Raw Data'!H66," ",""),1)="e","Emeka Traders")</f>
        <v>Emeka Traders</v>
      </c>
    </row>
    <row r="67" spans="1:13" x14ac:dyDescent="0.25">
      <c r="A67" s="20" t="str">
        <f>UPPER(SUBSTITUTE(SUBSTITUTE(SUBSTITUTE(CLEAN('Raw Data'!A67),"-","")," ",""),".",""))</f>
        <v>13JAN2025</v>
      </c>
      <c r="B67" s="20" t="str">
        <f>LEFT(Table1[[#This Row],[Raw Date]],2)</f>
        <v>13</v>
      </c>
      <c r="C67" s="20" t="str">
        <f>SUBSTITUTE(SUBSTITUTE(SUBSTITUTE(MID(Table1[[#This Row],[Raw Date]],3,3),"AMR","MAR"),"JNA","JAN"),"PAR","APR")</f>
        <v>JAN</v>
      </c>
      <c r="D67" s="30">
        <f>IF(YEAR(RIGHT(Table1[[#This Row],[Raw Date]],4))&lt;&gt;2025,2025,0)</f>
        <v>2025</v>
      </c>
      <c r="E67" s="20" t="str">
        <f t="shared" si="2"/>
        <v>13-JAN-2025</v>
      </c>
      <c r="F67" s="10" t="str" cm="1">
        <f t="array" ref="F67">_xlfn.IFS(LEFT(SUBSTITUTE('Raw Data'!B67," ",""),1)="s", "South", LEFT(SUBSTITUTE('Raw Data'!B67," ",""),1)="n", "North",LEFT(SUBSTITUTE('Raw Data'!B67," ",""),1)="e","East",LEFT(SUBSTITUTE('Raw Data'!B67," ",""),1)="w","West")</f>
        <v>West</v>
      </c>
      <c r="G67" s="10" t="str">
        <f>PROPER(CLEAN(SUBSTITUTE(SUBSTITUTE(SUBSTITUTE('Raw Data'!C67," ",""),",",""),".","")))</f>
        <v>Tv43Q</v>
      </c>
      <c r="H67" s="12" t="str" cm="1">
        <f t="array" ref="H67">_xlfn.IFS(LEFT(SUBSTITUTE('Raw Data'!D67," ",""),2)="pe", "Peripherals",LEFT(SUBSTITUTE('Raw Data'!D67," ",""),2)="au", "Audio",LEFT(SUBSTITUTE('Raw Data'!D67," ",""),2)="co", "Computers", LEFT(SUBSTITUTE('Raw Data'!D67," ",""),1)="e", "Electronics",LEFT(SUBSTITUTE('Raw Data'!D67," ",""),2)="mo","Mobile",LEFT(SUBSTITUTE('Raw Data'!D67," ",""),2)="ph","Photography")</f>
        <v>Electronics</v>
      </c>
      <c r="I67" s="11">
        <f>'Raw Data'!E67</f>
        <v>15</v>
      </c>
      <c r="J67" s="13">
        <f>'Raw Data'!F67</f>
        <v>350000</v>
      </c>
      <c r="K67" s="17">
        <f>Table1[[#This Row],[Unit Price]]*Table1[[#This Row],[Units Sold]]</f>
        <v>5250000</v>
      </c>
      <c r="L67" s="10" t="str">
        <f>UPPER(TRIM(CLEAN(SUBSTITUTE(SUBSTITUTE(SUBSTITUTE('Raw Data'!G67,",",""),".","")," ",""))))</f>
        <v>CHINEDUNWOSU</v>
      </c>
      <c r="M67" s="16" t="str" cm="1">
        <f t="array" ref="M67">_xlfn.IFS(LEFT(SUBSTITUTE('Raw Data'!H67," ",""),1)="M", "Musa Enterprrises",LEFT(SUBSTITUTE('Raw Data'!H67," ",""),1)="o", "Omega Wholesale",LEFT(SUBSTITUTE('Raw Data'!H67," ",""),4)="Tola", "Tola Ventures", LEFT(SUBSTITUTE('Raw Data'!H67," ",""),1)="T", "Tope &amp; Sons",LEFT(SUBSTITUTE('Raw Data'!H67," ",""),1)="z","Zainab Global",LEFT(SUBSTITUTE('Raw Data'!H67," ",""),2)="Ma","Maryam Ltd",LEFT(SUBSTITUTE('Raw Data'!H67," ",""),1)="j","Jide Superstores",LEFT(SUBSTITUTE('Raw Data'!H67," ",""),1)="f","Femi Tech",LEFT(SUBSTITUTE('Raw Data'!H67," ",""),1)="k","Kelvin Tech",LEFT(SUBSTITUTE('Raw Data'!H67," ",""),1)="A","Adewale Stores",LEFT(SUBSTITUTE('Raw Data'!H67," ",""),2)="Al","Alpha Retailers",LEFT(SUBSTITUTE('Raw Data'!H67," ",""),1)="b","Bright Solutions",LEFT(SUBSTITUTE('Raw Data'!H67," ",""),1)="c","Chika Mart",LEFT(SUBSTITUTE('Raw Data'!H67," ",""),1)="e","Emeka Traders")</f>
        <v>Tola Ventures</v>
      </c>
    </row>
    <row r="68" spans="1:13" x14ac:dyDescent="0.25">
      <c r="A68" s="20" t="str">
        <f>UPPER(SUBSTITUTE(SUBSTITUTE(SUBSTITUTE(CLEAN('Raw Data'!A68),"-","")," ",""),".",""))</f>
        <v>02JUN2025</v>
      </c>
      <c r="B68" s="20" t="str">
        <f>LEFT(Table1[[#This Row],[Raw Date]],2)</f>
        <v>02</v>
      </c>
      <c r="C68" s="20" t="str">
        <f>SUBSTITUTE(SUBSTITUTE(SUBSTITUTE(MID(Table1[[#This Row],[Raw Date]],3,3),"AMR","MAR"),"JNA","JAN"),"PAR","APR")</f>
        <v>JUN</v>
      </c>
      <c r="D68" s="30">
        <f>IF(YEAR(RIGHT(Table1[[#This Row],[Raw Date]],4))&lt;&gt;2025,2025,0)</f>
        <v>2025</v>
      </c>
      <c r="E68" s="20" t="str">
        <f t="shared" si="2"/>
        <v>02-JUN-2025</v>
      </c>
      <c r="F68" s="10" t="str" cm="1">
        <f t="array" ref="F68">_xlfn.IFS(LEFT(SUBSTITUTE('Raw Data'!B68," ",""),1)="s", "South", LEFT(SUBSTITUTE('Raw Data'!B68," ",""),1)="n", "North",LEFT(SUBSTITUTE('Raw Data'!B68," ",""),1)="e","East",LEFT(SUBSTITUTE('Raw Data'!B68," ",""),1)="w","West")</f>
        <v>North</v>
      </c>
      <c r="G68" s="10" t="str">
        <f>PROPER(CLEAN(SUBSTITUTE(SUBSTITUTE(SUBSTITUTE('Raw Data'!C68," ",""),",",""),".","")))</f>
        <v>Tablett8</v>
      </c>
      <c r="H68" s="12" t="str" cm="1">
        <f t="array" ref="H68">_xlfn.IFS(LEFT(SUBSTITUTE('Raw Data'!D68," ",""),2)="pe", "Peripherals",LEFT(SUBSTITUTE('Raw Data'!D68," ",""),2)="au", "Audio",LEFT(SUBSTITUTE('Raw Data'!D68," ",""),2)="co", "Computers", LEFT(SUBSTITUTE('Raw Data'!D68," ",""),1)="e", "Electronics",LEFT(SUBSTITUTE('Raw Data'!D68," ",""),2)="mo","Mobile",LEFT(SUBSTITUTE('Raw Data'!D68," ",""),2)="ph","Photography")</f>
        <v>Mobile</v>
      </c>
      <c r="I68" s="11">
        <f>'Raw Data'!E68</f>
        <v>16</v>
      </c>
      <c r="J68" s="13">
        <f>'Raw Data'!F68</f>
        <v>150000</v>
      </c>
      <c r="K68" s="17">
        <f>Table1[[#This Row],[Unit Price]]*Table1[[#This Row],[Units Sold]]</f>
        <v>2400000</v>
      </c>
      <c r="L68" s="10" t="str">
        <f>UPPER(TRIM(CLEAN(SUBSTITUTE(SUBSTITUTE(SUBSTITUTE('Raw Data'!G68,",",""),".","")," ",""))))</f>
        <v>IFEANYIOKAFOR</v>
      </c>
      <c r="M68" s="16" t="str" cm="1">
        <f t="array" ref="M68">_xlfn.IFS(LEFT(SUBSTITUTE('Raw Data'!H68," ",""),1)="M", "Musa Enterprrises",LEFT(SUBSTITUTE('Raw Data'!H68," ",""),1)="o", "Omega Wholesale",LEFT(SUBSTITUTE('Raw Data'!H68," ",""),4)="Tola", "Tola Ventures", LEFT(SUBSTITUTE('Raw Data'!H68," ",""),1)="T", "Tope &amp; Sons",LEFT(SUBSTITUTE('Raw Data'!H68," ",""),1)="z","Zainab Global",LEFT(SUBSTITUTE('Raw Data'!H68," ",""),2)="Ma","Maryam Ltd",LEFT(SUBSTITUTE('Raw Data'!H68," ",""),1)="j","Jide Superstores",LEFT(SUBSTITUTE('Raw Data'!H68," ",""),1)="f","Femi Tech",LEFT(SUBSTITUTE('Raw Data'!H68," ",""),1)="k","Kelvin Tech",LEFT(SUBSTITUTE('Raw Data'!H68," ",""),1)="A","Adewale Stores",LEFT(SUBSTITUTE('Raw Data'!H68," ",""),2)="Al","Alpha Retailers",LEFT(SUBSTITUTE('Raw Data'!H68," ",""),1)="b","Bright Solutions",LEFT(SUBSTITUTE('Raw Data'!H68," ",""),1)="c","Chika Mart",LEFT(SUBSTITUTE('Raw Data'!H68," ",""),1)="e","Emeka Traders")</f>
        <v>Chika Mart</v>
      </c>
    </row>
    <row r="69" spans="1:13" x14ac:dyDescent="0.25">
      <c r="A69" s="20" t="str">
        <f>UPPER(SUBSTITUTE(SUBSTITUTE(SUBSTITUTE(CLEAN('Raw Data'!A69),"-","")," ",""),".",""))</f>
        <v>16FEB2025</v>
      </c>
      <c r="B69" s="20" t="str">
        <f>LEFT(Table1[[#This Row],[Raw Date]],2)</f>
        <v>16</v>
      </c>
      <c r="C69" s="20" t="str">
        <f>SUBSTITUTE(SUBSTITUTE(SUBSTITUTE(MID(Table1[[#This Row],[Raw Date]],3,3),"AMR","MAR"),"JNA","JAN"),"PAR","APR")</f>
        <v>FEB</v>
      </c>
      <c r="D69" s="30">
        <f>IF(YEAR(RIGHT(Table1[[#This Row],[Raw Date]],4))&lt;&gt;2025,2025,0)</f>
        <v>2025</v>
      </c>
      <c r="E69" s="20" t="str">
        <f t="shared" si="2"/>
        <v>16-FEB-2025</v>
      </c>
      <c r="F69" s="10" t="str" cm="1">
        <f t="array" ref="F69">_xlfn.IFS(LEFT(SUBSTITUTE('Raw Data'!B69," ",""),1)="s", "South", LEFT(SUBSTITUTE('Raw Data'!B69," ",""),1)="n", "North",LEFT(SUBSTITUTE('Raw Data'!B69," ",""),1)="e","East",LEFT(SUBSTITUTE('Raw Data'!B69," ",""),1)="w","West")</f>
        <v>East</v>
      </c>
      <c r="G69" s="10" t="str">
        <f>PROPER(CLEAN(SUBSTITUTE(SUBSTITUTE(SUBSTITUTE('Raw Data'!C69," ",""),",",""),".","")))</f>
        <v>Camerac100</v>
      </c>
      <c r="H69" s="12" t="str" cm="1">
        <f t="array" ref="H69">_xlfn.IFS(LEFT(SUBSTITUTE('Raw Data'!D69," ",""),2)="pe", "Peripherals",LEFT(SUBSTITUTE('Raw Data'!D69," ",""),2)="au", "Audio",LEFT(SUBSTITUTE('Raw Data'!D69," ",""),2)="co", "Computers", LEFT(SUBSTITUTE('Raw Data'!D69," ",""),1)="e", "Electronics",LEFT(SUBSTITUTE('Raw Data'!D69," ",""),2)="mo","Mobile",LEFT(SUBSTITUTE('Raw Data'!D69," ",""),2)="ph","Photography")</f>
        <v>Photography</v>
      </c>
      <c r="I69" s="11">
        <f>'Raw Data'!E69</f>
        <v>8</v>
      </c>
      <c r="J69" s="13">
        <f>'Raw Data'!F69</f>
        <v>175000</v>
      </c>
      <c r="K69" s="17">
        <f>Table1[[#This Row],[Unit Price]]*Table1[[#This Row],[Units Sold]]</f>
        <v>1400000</v>
      </c>
      <c r="L69" s="10" t="str">
        <f>UPPER(TRIM(CLEAN(SUBSTITUTE(SUBSTITUTE(SUBSTITUTE('Raw Data'!G69,",",""),".","")," ",""))))</f>
        <v>PETEROBI</v>
      </c>
      <c r="M69" s="16" t="str" cm="1">
        <f t="array" ref="M69">_xlfn.IFS(LEFT(SUBSTITUTE('Raw Data'!H69," ",""),1)="M", "Musa Enterprrises",LEFT(SUBSTITUTE('Raw Data'!H69," ",""),1)="o", "Omega Wholesale",LEFT(SUBSTITUTE('Raw Data'!H69," ",""),4)="Tola", "Tola Ventures", LEFT(SUBSTITUTE('Raw Data'!H69," ",""),1)="T", "Tope &amp; Sons",LEFT(SUBSTITUTE('Raw Data'!H69," ",""),1)="z","Zainab Global",LEFT(SUBSTITUTE('Raw Data'!H69," ",""),2)="Ma","Maryam Ltd",LEFT(SUBSTITUTE('Raw Data'!H69," ",""),1)="j","Jide Superstores",LEFT(SUBSTITUTE('Raw Data'!H69," ",""),1)="f","Femi Tech",LEFT(SUBSTITUTE('Raw Data'!H69," ",""),1)="k","Kelvin Tech",LEFT(SUBSTITUTE('Raw Data'!H69," ",""),1)="A","Adewale Stores",LEFT(SUBSTITUTE('Raw Data'!H69," ",""),2)="Al","Alpha Retailers",LEFT(SUBSTITUTE('Raw Data'!H69," ",""),1)="b","Bright Solutions",LEFT(SUBSTITUTE('Raw Data'!H69," ",""),1)="c","Chika Mart",LEFT(SUBSTITUTE('Raw Data'!H69," ",""),1)="e","Emeka Traders")</f>
        <v>Bright Solutions</v>
      </c>
    </row>
    <row r="70" spans="1:13" x14ac:dyDescent="0.25">
      <c r="A70" s="20" t="str">
        <f>UPPER(SUBSTITUTE(SUBSTITUTE(SUBSTITUTE(CLEAN('Raw Data'!A70),"-","")," ",""),".",""))</f>
        <v>14APR2025</v>
      </c>
      <c r="B70" s="20" t="str">
        <f>LEFT(Table1[[#This Row],[Raw Date]],2)</f>
        <v>14</v>
      </c>
      <c r="C70" s="20" t="str">
        <f>SUBSTITUTE(SUBSTITUTE(SUBSTITUTE(MID(Table1[[#This Row],[Raw Date]],3,3),"AMR","MAR"),"JNA","JAN"),"PAR","APR")</f>
        <v>APR</v>
      </c>
      <c r="D70" s="30">
        <f>IF(YEAR(RIGHT(Table1[[#This Row],[Raw Date]],4))&lt;&gt;2025,2025,0)</f>
        <v>2025</v>
      </c>
      <c r="E70" s="20" t="str">
        <f t="shared" si="2"/>
        <v>14-APR-2025</v>
      </c>
      <c r="F70" s="10" t="str" cm="1">
        <f t="array" ref="F70">_xlfn.IFS(LEFT(SUBSTITUTE('Raw Data'!B70," ",""),1)="s", "South", LEFT(SUBSTITUTE('Raw Data'!B70," ",""),1)="n", "North",LEFT(SUBSTITUTE('Raw Data'!B70," ",""),1)="e","East",LEFT(SUBSTITUTE('Raw Data'!B70," ",""),1)="w","West")</f>
        <v>South</v>
      </c>
      <c r="G70" s="10" t="str">
        <f>PROPER(CLEAN(SUBSTITUTE(SUBSTITUTE(SUBSTITUTE('Raw Data'!C70," ",""),",",""),".","")))</f>
        <v>Speakers10</v>
      </c>
      <c r="H70" s="12" t="str" cm="1">
        <f t="array" ref="H70">_xlfn.IFS(LEFT(SUBSTITUTE('Raw Data'!D70," ",""),2)="pe", "Peripherals",LEFT(SUBSTITUTE('Raw Data'!D70," ",""),2)="au", "Audio",LEFT(SUBSTITUTE('Raw Data'!D70," ",""),2)="co", "Computers", LEFT(SUBSTITUTE('Raw Data'!D70," ",""),1)="e", "Electronics",LEFT(SUBSTITUTE('Raw Data'!D70," ",""),2)="mo","Mobile",LEFT(SUBSTITUTE('Raw Data'!D70," ",""),2)="ph","Photography")</f>
        <v>Audio</v>
      </c>
      <c r="I70" s="11">
        <f>'Raw Data'!E70</f>
        <v>2</v>
      </c>
      <c r="J70" s="13">
        <f>'Raw Data'!F70</f>
        <v>85000</v>
      </c>
      <c r="K70" s="17">
        <f>Table1[[#This Row],[Unit Price]]*Table1[[#This Row],[Units Sold]]</f>
        <v>170000</v>
      </c>
      <c r="L70" s="10" t="str">
        <f>UPPER(TRIM(CLEAN(SUBSTITUTE(SUBSTITUTE(SUBSTITUTE('Raw Data'!G70,",",""),".","")," ",""))))</f>
        <v>CHINEDUNWOSU</v>
      </c>
      <c r="M70" s="16" t="str" cm="1">
        <f t="array" ref="M70">_xlfn.IFS(LEFT(SUBSTITUTE('Raw Data'!H70," ",""),1)="M", "Musa Enterprrises",LEFT(SUBSTITUTE('Raw Data'!H70," ",""),1)="o", "Omega Wholesale",LEFT(SUBSTITUTE('Raw Data'!H70," ",""),4)="Tola", "Tola Ventures", LEFT(SUBSTITUTE('Raw Data'!H70," ",""),1)="T", "Tope &amp; Sons",LEFT(SUBSTITUTE('Raw Data'!H70," ",""),1)="z","Zainab Global",LEFT(SUBSTITUTE('Raw Data'!H70," ",""),2)="Ma","Maryam Ltd",LEFT(SUBSTITUTE('Raw Data'!H70," ",""),1)="j","Jide Superstores",LEFT(SUBSTITUTE('Raw Data'!H70," ",""),1)="f","Femi Tech",LEFT(SUBSTITUTE('Raw Data'!H70," ",""),1)="k","Kelvin Tech",LEFT(SUBSTITUTE('Raw Data'!H70," ",""),1)="A","Adewale Stores",LEFT(SUBSTITUTE('Raw Data'!H70," ",""),2)="Al","Alpha Retailers",LEFT(SUBSTITUTE('Raw Data'!H70," ",""),1)="b","Bright Solutions",LEFT(SUBSTITUTE('Raw Data'!H70," ",""),1)="c","Chika Mart",LEFT(SUBSTITUTE('Raw Data'!H70," ",""),1)="e","Emeka Traders")</f>
        <v>Kelvin Tech</v>
      </c>
    </row>
    <row r="71" spans="1:13" x14ac:dyDescent="0.25">
      <c r="A71" s="20" t="str">
        <f>UPPER(SUBSTITUTE(SUBSTITUTE(SUBSTITUTE(CLEAN('Raw Data'!A71),"-","")," ",""),".",""))</f>
        <v>06JAN2025</v>
      </c>
      <c r="B71" s="20" t="str">
        <f>LEFT(Table1[[#This Row],[Raw Date]],2)</f>
        <v>06</v>
      </c>
      <c r="C71" s="20" t="str">
        <f>SUBSTITUTE(SUBSTITUTE(SUBSTITUTE(MID(Table1[[#This Row],[Raw Date]],3,3),"AMR","MAR"),"JNA","JAN"),"PAR","APR")</f>
        <v>JAN</v>
      </c>
      <c r="D71" s="30">
        <f>IF(YEAR(RIGHT(Table1[[#This Row],[Raw Date]],4))&lt;&gt;2025,2025,0)</f>
        <v>2025</v>
      </c>
      <c r="E71" s="20" t="str">
        <f t="shared" si="2"/>
        <v>06-JAN-2025</v>
      </c>
      <c r="F71" s="10" t="str" cm="1">
        <f t="array" ref="F71">_xlfn.IFS(LEFT(SUBSTITUTE('Raw Data'!B71," ",""),1)="s", "South", LEFT(SUBSTITUTE('Raw Data'!B71," ",""),1)="n", "North",LEFT(SUBSTITUTE('Raw Data'!B71," ",""),1)="e","East",LEFT(SUBSTITUTE('Raw Data'!B71," ",""),1)="w","West")</f>
        <v>North</v>
      </c>
      <c r="G71" s="10" t="str">
        <f>PROPER(CLEAN(SUBSTITUTE(SUBSTITUTE(SUBSTITUTE('Raw Data'!C71," ",""),",",""),".","")))</f>
        <v>Laptopa15</v>
      </c>
      <c r="H71" s="12" t="str" cm="1">
        <f t="array" ref="H71">_xlfn.IFS(LEFT(SUBSTITUTE('Raw Data'!D71," ",""),2)="pe", "Peripherals",LEFT(SUBSTITUTE('Raw Data'!D71," ",""),2)="au", "Audio",LEFT(SUBSTITUTE('Raw Data'!D71," ",""),2)="co", "Computers", LEFT(SUBSTITUTE('Raw Data'!D71," ",""),1)="e", "Electronics",LEFT(SUBSTITUTE('Raw Data'!D71," ",""),2)="mo","Mobile",LEFT(SUBSTITUTE('Raw Data'!D71," ",""),2)="ph","Photography")</f>
        <v>Computers</v>
      </c>
      <c r="I71" s="11">
        <f>'Raw Data'!E71</f>
        <v>13</v>
      </c>
      <c r="J71" s="13">
        <f>'Raw Data'!F71</f>
        <v>250000</v>
      </c>
      <c r="K71" s="17">
        <f>Table1[[#This Row],[Unit Price]]*Table1[[#This Row],[Units Sold]]</f>
        <v>3250000</v>
      </c>
      <c r="L71" s="10" t="str">
        <f>UPPER(TRIM(CLEAN(SUBSTITUTE(SUBSTITUTE(SUBSTITUTE('Raw Data'!G71,",",""),".","")," ",""))))</f>
        <v>GRACEAMOS</v>
      </c>
      <c r="M71" s="16" t="str" cm="1">
        <f t="array" ref="M71">_xlfn.IFS(LEFT(SUBSTITUTE('Raw Data'!H71," ",""),1)="M", "Musa Enterprrises",LEFT(SUBSTITUTE('Raw Data'!H71," ",""),1)="o", "Omega Wholesale",LEFT(SUBSTITUTE('Raw Data'!H71," ",""),4)="Tola", "Tola Ventures", LEFT(SUBSTITUTE('Raw Data'!H71," ",""),1)="T", "Tope &amp; Sons",LEFT(SUBSTITUTE('Raw Data'!H71," ",""),1)="z","Zainab Global",LEFT(SUBSTITUTE('Raw Data'!H71," ",""),2)="Ma","Maryam Ltd",LEFT(SUBSTITUTE('Raw Data'!H71," ",""),1)="j","Jide Superstores",LEFT(SUBSTITUTE('Raw Data'!H71," ",""),1)="f","Femi Tech",LEFT(SUBSTITUTE('Raw Data'!H71," ",""),1)="k","Kelvin Tech",LEFT(SUBSTITUTE('Raw Data'!H71," ",""),1)="A","Adewale Stores",LEFT(SUBSTITUTE('Raw Data'!H71," ",""),2)="Al","Alpha Retailers",LEFT(SUBSTITUTE('Raw Data'!H71," ",""),1)="b","Bright Solutions",LEFT(SUBSTITUTE('Raw Data'!H71," ",""),1)="c","Chika Mart",LEFT(SUBSTITUTE('Raw Data'!H71," ",""),1)="e","Emeka Traders")</f>
        <v>Chika Mart</v>
      </c>
    </row>
    <row r="72" spans="1:13" x14ac:dyDescent="0.25">
      <c r="A72" s="20" t="str">
        <f>UPPER(SUBSTITUTE(SUBSTITUTE(SUBSTITUTE(CLEAN('Raw Data'!A72),"-","")," ",""),".",""))</f>
        <v>11JAN2025</v>
      </c>
      <c r="B72" s="20" t="str">
        <f>LEFT(Table1[[#This Row],[Raw Date]],2)</f>
        <v>11</v>
      </c>
      <c r="C72" s="20" t="str">
        <f>SUBSTITUTE(SUBSTITUTE(SUBSTITUTE(MID(Table1[[#This Row],[Raw Date]],3,3),"AMR","MAR"),"JNA","JAN"),"PAR","APR")</f>
        <v>JAN</v>
      </c>
      <c r="D72" s="30">
        <f>IF(YEAR(RIGHT(Table1[[#This Row],[Raw Date]],4))&lt;&gt;2025,2025,0)</f>
        <v>2025</v>
      </c>
      <c r="E72" s="20" t="str">
        <f t="shared" si="2"/>
        <v>11-JAN-2025</v>
      </c>
      <c r="F72" s="10" t="str" cm="1">
        <f t="array" ref="F72">_xlfn.IFS(LEFT(SUBSTITUTE('Raw Data'!B72," ",""),1)="s", "South", LEFT(SUBSTITUTE('Raw Data'!B72," ",""),1)="n", "North",LEFT(SUBSTITUTE('Raw Data'!B72," ",""),1)="e","East",LEFT(SUBSTITUTE('Raw Data'!B72," ",""),1)="w","West")</f>
        <v>West</v>
      </c>
      <c r="G72" s="10" t="str">
        <f>PROPER(CLEAN(SUBSTITUTE(SUBSTITUTE(SUBSTITUTE('Raw Data'!C72," ",""),",",""),".","")))</f>
        <v>Monitorm24</v>
      </c>
      <c r="H72" s="12" t="str" cm="1">
        <f t="array" ref="H72">_xlfn.IFS(LEFT(SUBSTITUTE('Raw Data'!D72," ",""),2)="pe", "Peripherals",LEFT(SUBSTITUTE('Raw Data'!D72," ",""),2)="au", "Audio",LEFT(SUBSTITUTE('Raw Data'!D72," ",""),2)="co", "Computers", LEFT(SUBSTITUTE('Raw Data'!D72," ",""),1)="e", "Electronics",LEFT(SUBSTITUTE('Raw Data'!D72," ",""),2)="mo","Mobile",LEFT(SUBSTITUTE('Raw Data'!D72," ",""),2)="ph","Photography")</f>
        <v>Peripherals</v>
      </c>
      <c r="I72" s="11">
        <f>'Raw Data'!E72</f>
        <v>11</v>
      </c>
      <c r="J72" s="13">
        <f>'Raw Data'!F72</f>
        <v>65000</v>
      </c>
      <c r="K72" s="17">
        <f>Table1[[#This Row],[Unit Price]]*Table1[[#This Row],[Units Sold]]</f>
        <v>715000</v>
      </c>
      <c r="L72" s="10" t="str">
        <f>UPPER(TRIM(CLEAN(SUBSTITUTE(SUBSTITUTE(SUBSTITUTE('Raw Data'!G72,",",""),".","")," ",""))))</f>
        <v>CHINEDUNWOSU</v>
      </c>
      <c r="M72" s="16" t="str" cm="1">
        <f t="array" ref="M72">_xlfn.IFS(LEFT(SUBSTITUTE('Raw Data'!H72," ",""),1)="M", "Musa Enterprrises",LEFT(SUBSTITUTE('Raw Data'!H72," ",""),1)="o", "Omega Wholesale",LEFT(SUBSTITUTE('Raw Data'!H72," ",""),4)="Tola", "Tola Ventures", LEFT(SUBSTITUTE('Raw Data'!H72," ",""),1)="T", "Tope &amp; Sons",LEFT(SUBSTITUTE('Raw Data'!H72," ",""),1)="z","Zainab Global",LEFT(SUBSTITUTE('Raw Data'!H72," ",""),2)="Ma","Maryam Ltd",LEFT(SUBSTITUTE('Raw Data'!H72," ",""),1)="j","Jide Superstores",LEFT(SUBSTITUTE('Raw Data'!H72," ",""),1)="f","Femi Tech",LEFT(SUBSTITUTE('Raw Data'!H72," ",""),1)="k","Kelvin Tech",LEFT(SUBSTITUTE('Raw Data'!H72," ",""),1)="A","Adewale Stores",LEFT(SUBSTITUTE('Raw Data'!H72," ",""),2)="Al","Alpha Retailers",LEFT(SUBSTITUTE('Raw Data'!H72," ",""),1)="b","Bright Solutions",LEFT(SUBSTITUTE('Raw Data'!H72," ",""),1)="c","Chika Mart",LEFT(SUBSTITUTE('Raw Data'!H72," ",""),1)="e","Emeka Traders")</f>
        <v>Tola Ventures</v>
      </c>
    </row>
    <row r="73" spans="1:13" x14ac:dyDescent="0.25">
      <c r="A73" s="20" t="str">
        <f>UPPER(SUBSTITUTE(SUBSTITUTE(SUBSTITUTE(CLEAN('Raw Data'!A73),"-","")," ",""),".",""))</f>
        <v>17JUN2025</v>
      </c>
      <c r="B73" s="20" t="str">
        <f>LEFT(Table1[[#This Row],[Raw Date]],2)</f>
        <v>17</v>
      </c>
      <c r="C73" s="20" t="str">
        <f>SUBSTITUTE(SUBSTITUTE(SUBSTITUTE(MID(Table1[[#This Row],[Raw Date]],3,3),"AMR","MAR"),"JNA","JAN"),"PAR","APR")</f>
        <v>JUN</v>
      </c>
      <c r="D73" s="30">
        <f>IF(YEAR(RIGHT(Table1[[#This Row],[Raw Date]],4))&lt;&gt;2025,2025,0)</f>
        <v>2025</v>
      </c>
      <c r="E73" s="20" t="str">
        <f t="shared" si="2"/>
        <v>17-JUN-2025</v>
      </c>
      <c r="F73" s="10" t="str" cm="1">
        <f t="array" ref="F73">_xlfn.IFS(LEFT(SUBSTITUTE('Raw Data'!B73," ",""),1)="s", "South", LEFT(SUBSTITUTE('Raw Data'!B73," ",""),1)="n", "North",LEFT(SUBSTITUTE('Raw Data'!B73," ",""),1)="e","East",LEFT(SUBSTITUTE('Raw Data'!B73," ",""),1)="w","West")</f>
        <v>South</v>
      </c>
      <c r="G73" s="10" t="str">
        <f>PROPER(CLEAN(SUBSTITUTE(SUBSTITUTE(SUBSTITUTE('Raw Data'!C73," ",""),",",""),".","")))</f>
        <v>Tv43Q</v>
      </c>
      <c r="H73" s="12" t="str" cm="1">
        <f t="array" ref="H73">_xlfn.IFS(LEFT(SUBSTITUTE('Raw Data'!D73," ",""),2)="pe", "Peripherals",LEFT(SUBSTITUTE('Raw Data'!D73," ",""),2)="au", "Audio",LEFT(SUBSTITUTE('Raw Data'!D73," ",""),2)="co", "Computers", LEFT(SUBSTITUTE('Raw Data'!D73," ",""),1)="e", "Electronics",LEFT(SUBSTITUTE('Raw Data'!D73," ",""),2)="mo","Mobile",LEFT(SUBSTITUTE('Raw Data'!D73," ",""),2)="ph","Photography")</f>
        <v>Electronics</v>
      </c>
      <c r="I73" s="11">
        <f>'Raw Data'!E73</f>
        <v>17</v>
      </c>
      <c r="J73" s="13">
        <f>'Raw Data'!F73</f>
        <v>3500</v>
      </c>
      <c r="K73" s="17">
        <f>Table1[[#This Row],[Unit Price]]*Table1[[#This Row],[Units Sold]]</f>
        <v>59500</v>
      </c>
      <c r="L73" s="10" t="str">
        <f>UPPER(TRIM(CLEAN(SUBSTITUTE(SUBSTITUTE(SUBSTITUTE('Raw Data'!G73,",",""),".","")," ",""))))</f>
        <v>CHINEDUNWOSU</v>
      </c>
      <c r="M73" s="16" t="str" cm="1">
        <f t="array" ref="M73">_xlfn.IFS(LEFT(SUBSTITUTE('Raw Data'!H73," ",""),1)="M", "Musa Enterprrises",LEFT(SUBSTITUTE('Raw Data'!H73," ",""),1)="o", "Omega Wholesale",LEFT(SUBSTITUTE('Raw Data'!H73," ",""),4)="Tola", "Tola Ventures", LEFT(SUBSTITUTE('Raw Data'!H73," ",""),1)="T", "Tope &amp; Sons",LEFT(SUBSTITUTE('Raw Data'!H73," ",""),1)="z","Zainab Global",LEFT(SUBSTITUTE('Raw Data'!H73," ",""),2)="Ma","Maryam Ltd",LEFT(SUBSTITUTE('Raw Data'!H73," ",""),1)="j","Jide Superstores",LEFT(SUBSTITUTE('Raw Data'!H73," ",""),1)="f","Femi Tech",LEFT(SUBSTITUTE('Raw Data'!H73," ",""),1)="k","Kelvin Tech",LEFT(SUBSTITUTE('Raw Data'!H73," ",""),1)="A","Adewale Stores",LEFT(SUBSTITUTE('Raw Data'!H73," ",""),2)="Al","Alpha Retailers",LEFT(SUBSTITUTE('Raw Data'!H73," ",""),1)="b","Bright Solutions",LEFT(SUBSTITUTE('Raw Data'!H73," ",""),1)="c","Chika Mart",LEFT(SUBSTITUTE('Raw Data'!H73," ",""),1)="e","Emeka Traders")</f>
        <v>Omega Wholesale</v>
      </c>
    </row>
    <row r="74" spans="1:13" x14ac:dyDescent="0.25">
      <c r="A74" s="20" t="str">
        <f>UPPER(SUBSTITUTE(SUBSTITUTE(SUBSTITUTE(CLEAN('Raw Data'!A74),"-","")," ",""),".",""))</f>
        <v>14JAN2025</v>
      </c>
      <c r="B74" s="20" t="str">
        <f>LEFT(Table1[[#This Row],[Raw Date]],2)</f>
        <v>14</v>
      </c>
      <c r="C74" s="20" t="str">
        <f>SUBSTITUTE(SUBSTITUTE(SUBSTITUTE(MID(Table1[[#This Row],[Raw Date]],3,3),"AMR","MAR"),"JNA","JAN"),"PAR","APR")</f>
        <v>JAN</v>
      </c>
      <c r="D74" s="30">
        <f>IF(YEAR(RIGHT(Table1[[#This Row],[Raw Date]],4))&lt;&gt;2025,2025,0)</f>
        <v>2025</v>
      </c>
      <c r="E74" s="20" t="str">
        <f t="shared" si="2"/>
        <v>14-JAN-2025</v>
      </c>
      <c r="F74" s="10" t="str" cm="1">
        <f t="array" ref="F74">_xlfn.IFS(LEFT(SUBSTITUTE('Raw Data'!B74," ",""),1)="s", "South", LEFT(SUBSTITUTE('Raw Data'!B74," ",""),1)="n", "North",LEFT(SUBSTITUTE('Raw Data'!B74," ",""),1)="e","East",LEFT(SUBSTITUTE('Raw Data'!B74," ",""),1)="w","West")</f>
        <v>West</v>
      </c>
      <c r="G74" s="10" t="str">
        <f>PROPER(CLEAN(SUBSTITUTE(SUBSTITUTE(SUBSTITUTE('Raw Data'!C74," ",""),",",""),".","")))</f>
        <v>Monitorm24</v>
      </c>
      <c r="H74" s="12" t="str" cm="1">
        <f t="array" ref="H74">_xlfn.IFS(LEFT(SUBSTITUTE('Raw Data'!D74," ",""),2)="pe", "Peripherals",LEFT(SUBSTITUTE('Raw Data'!D74," ",""),2)="au", "Audio",LEFT(SUBSTITUTE('Raw Data'!D74," ",""),2)="co", "Computers", LEFT(SUBSTITUTE('Raw Data'!D74," ",""),1)="e", "Electronics",LEFT(SUBSTITUTE('Raw Data'!D74," ",""),2)="mo","Mobile",LEFT(SUBSTITUTE('Raw Data'!D74," ",""),2)="ph","Photography")</f>
        <v>Peripherals</v>
      </c>
      <c r="I74" s="11">
        <f>'Raw Data'!E74</f>
        <v>18</v>
      </c>
      <c r="J74" s="13">
        <f>'Raw Data'!F74</f>
        <v>65000</v>
      </c>
      <c r="K74" s="17">
        <f>Table1[[#This Row],[Unit Price]]*Table1[[#This Row],[Units Sold]]</f>
        <v>1170000</v>
      </c>
      <c r="L74" s="10" t="str">
        <f>UPPER(TRIM(CLEAN(SUBSTITUTE(SUBSTITUTE(SUBSTITUTE('Raw Data'!G74,",",""),".","")," ",""))))</f>
        <v>CHINEDUNWOSU</v>
      </c>
      <c r="M74" s="16" t="str" cm="1">
        <f t="array" ref="M74">_xlfn.IFS(LEFT(SUBSTITUTE('Raw Data'!H74," ",""),1)="M", "Musa Enterprrises",LEFT(SUBSTITUTE('Raw Data'!H74," ",""),1)="o", "Omega Wholesale",LEFT(SUBSTITUTE('Raw Data'!H74," ",""),4)="Tola", "Tola Ventures", LEFT(SUBSTITUTE('Raw Data'!H74," ",""),1)="T", "Tope &amp; Sons",LEFT(SUBSTITUTE('Raw Data'!H74," ",""),1)="z","Zainab Global",LEFT(SUBSTITUTE('Raw Data'!H74," ",""),2)="Ma","Maryam Ltd",LEFT(SUBSTITUTE('Raw Data'!H74," ",""),1)="j","Jide Superstores",LEFT(SUBSTITUTE('Raw Data'!H74," ",""),1)="f","Femi Tech",LEFT(SUBSTITUTE('Raw Data'!H74," ",""),1)="k","Kelvin Tech",LEFT(SUBSTITUTE('Raw Data'!H74," ",""),1)="A","Adewale Stores",LEFT(SUBSTITUTE('Raw Data'!H74," ",""),2)="Al","Alpha Retailers",LEFT(SUBSTITUTE('Raw Data'!H74," ",""),1)="b","Bright Solutions",LEFT(SUBSTITUTE('Raw Data'!H74," ",""),1)="c","Chika Mart",LEFT(SUBSTITUTE('Raw Data'!H74," ",""),1)="e","Emeka Traders")</f>
        <v>Femi Tech</v>
      </c>
    </row>
    <row r="75" spans="1:13" x14ac:dyDescent="0.25">
      <c r="A75" s="20" t="str">
        <f>UPPER(SUBSTITUTE(SUBSTITUTE(SUBSTITUTE(CLEAN('Raw Data'!A75),"-","")," ",""),".",""))</f>
        <v>29MAY2025</v>
      </c>
      <c r="B75" s="20" t="str">
        <f>LEFT(Table1[[#This Row],[Raw Date]],2)</f>
        <v>29</v>
      </c>
      <c r="C75" s="20" t="str">
        <f>SUBSTITUTE(SUBSTITUTE(SUBSTITUTE(MID(Table1[[#This Row],[Raw Date]],3,3),"AMR","MAR"),"JNA","JAN"),"PAR","APR")</f>
        <v>MAY</v>
      </c>
      <c r="D75" s="30">
        <f>IF(YEAR(RIGHT(Table1[[#This Row],[Raw Date]],4))&lt;&gt;2025,2025,0)</f>
        <v>2025</v>
      </c>
      <c r="E75" s="20" t="str">
        <f t="shared" si="2"/>
        <v>29-MAY-2025</v>
      </c>
      <c r="F75" s="10" t="str" cm="1">
        <f t="array" ref="F75">_xlfn.IFS(LEFT(SUBSTITUTE('Raw Data'!B75," ",""),1)="s", "South", LEFT(SUBSTITUTE('Raw Data'!B75," ",""),1)="n", "North",LEFT(SUBSTITUTE('Raw Data'!B75," ",""),1)="e","East",LEFT(SUBSTITUTE('Raw Data'!B75," ",""),1)="w","West")</f>
        <v>East</v>
      </c>
      <c r="G75" s="10" t="str">
        <f>PROPER(CLEAN(SUBSTITUTE(SUBSTITUTE(SUBSTITUTE('Raw Data'!C75," ",""),",",""),".","")))</f>
        <v>Phonex12</v>
      </c>
      <c r="H75" s="12" t="str" cm="1">
        <f t="array" ref="H75">_xlfn.IFS(LEFT(SUBSTITUTE('Raw Data'!D75," ",""),2)="pe", "Peripherals",LEFT(SUBSTITUTE('Raw Data'!D75," ",""),2)="au", "Audio",LEFT(SUBSTITUTE('Raw Data'!D75," ",""),2)="co", "Computers", LEFT(SUBSTITUTE('Raw Data'!D75," ",""),1)="e", "Electronics",LEFT(SUBSTITUTE('Raw Data'!D75," ",""),2)="mo","Mobile",LEFT(SUBSTITUTE('Raw Data'!D75," ",""),2)="ph","Photography")</f>
        <v>Mobile</v>
      </c>
      <c r="I75" s="11">
        <f>'Raw Data'!E75</f>
        <v>13</v>
      </c>
      <c r="J75" s="13">
        <f>'Raw Data'!F75</f>
        <v>180000</v>
      </c>
      <c r="K75" s="17">
        <f>Table1[[#This Row],[Unit Price]]*Table1[[#This Row],[Units Sold]]</f>
        <v>2340000</v>
      </c>
      <c r="L75" s="10" t="str">
        <f>UPPER(TRIM(CLEAN(SUBSTITUTE(SUBSTITUTE(SUBSTITUTE('Raw Data'!G75,",",""),".","")," ",""))))</f>
        <v>GRACEAMOS</v>
      </c>
      <c r="M75" s="16" t="str" cm="1">
        <f t="array" ref="M75">_xlfn.IFS(LEFT(SUBSTITUTE('Raw Data'!H75," ",""),1)="M", "Musa Enterprrises",LEFT(SUBSTITUTE('Raw Data'!H75," ",""),1)="o", "Omega Wholesale",LEFT(SUBSTITUTE('Raw Data'!H75," ",""),4)="Tola", "Tola Ventures", LEFT(SUBSTITUTE('Raw Data'!H75," ",""),1)="T", "Tope &amp; Sons",LEFT(SUBSTITUTE('Raw Data'!H75," ",""),1)="z","Zainab Global",LEFT(SUBSTITUTE('Raw Data'!H75," ",""),2)="Ma","Maryam Ltd",LEFT(SUBSTITUTE('Raw Data'!H75," ",""),1)="j","Jide Superstores",LEFT(SUBSTITUTE('Raw Data'!H75," ",""),1)="f","Femi Tech",LEFT(SUBSTITUTE('Raw Data'!H75," ",""),1)="k","Kelvin Tech",LEFT(SUBSTITUTE('Raw Data'!H75," ",""),1)="A","Adewale Stores",LEFT(SUBSTITUTE('Raw Data'!H75," ",""),2)="Al","Alpha Retailers",LEFT(SUBSTITUTE('Raw Data'!H75," ",""),1)="b","Bright Solutions",LEFT(SUBSTITUTE('Raw Data'!H75," ",""),1)="c","Chika Mart",LEFT(SUBSTITUTE('Raw Data'!H75," ",""),1)="e","Emeka Traders")</f>
        <v>Zainab Global</v>
      </c>
    </row>
    <row r="76" spans="1:13" x14ac:dyDescent="0.25">
      <c r="A76" s="20" t="str">
        <f>UPPER(SUBSTITUTE(SUBSTITUTE(SUBSTITUTE(CLEAN('Raw Data'!A76),"-","")," ",""),".",""))</f>
        <v>15MAR2025</v>
      </c>
      <c r="B76" s="20" t="str">
        <f>LEFT(Table1[[#This Row],[Raw Date]],2)</f>
        <v>15</v>
      </c>
      <c r="C76" s="20" t="str">
        <f>SUBSTITUTE(SUBSTITUTE(SUBSTITUTE(MID(Table1[[#This Row],[Raw Date]],3,3),"AMR","MAR"),"JNA","JAN"),"PAR","APR")</f>
        <v>MAR</v>
      </c>
      <c r="D76" s="30">
        <f>IF(YEAR(RIGHT(Table1[[#This Row],[Raw Date]],4))&lt;&gt;2025,2025,0)</f>
        <v>2025</v>
      </c>
      <c r="E76" s="20" t="str">
        <f t="shared" si="2"/>
        <v>15-MAR-2025</v>
      </c>
      <c r="F76" s="10" t="str" cm="1">
        <f t="array" ref="F76">_xlfn.IFS(LEFT(SUBSTITUTE('Raw Data'!B76," ",""),1)="s", "South", LEFT(SUBSTITUTE('Raw Data'!B76," ",""),1)="n", "North",LEFT(SUBSTITUTE('Raw Data'!B76," ",""),1)="e","East",LEFT(SUBSTITUTE('Raw Data'!B76," ",""),1)="w","West")</f>
        <v>South</v>
      </c>
      <c r="G76" s="10" t="str">
        <f>PROPER(CLEAN(SUBSTITUTE(SUBSTITUTE(SUBSTITUTE('Raw Data'!C76," ",""),",",""),".","")))</f>
        <v>Camerac100</v>
      </c>
      <c r="H76" s="12" t="str" cm="1">
        <f t="array" ref="H76">_xlfn.IFS(LEFT(SUBSTITUTE('Raw Data'!D76," ",""),2)="pe", "Peripherals",LEFT(SUBSTITUTE('Raw Data'!D76," ",""),2)="au", "Audio",LEFT(SUBSTITUTE('Raw Data'!D76," ",""),2)="co", "Computers", LEFT(SUBSTITUTE('Raw Data'!D76," ",""),1)="e", "Electronics",LEFT(SUBSTITUTE('Raw Data'!D76," ",""),2)="mo","Mobile",LEFT(SUBSTITUTE('Raw Data'!D76," ",""),2)="ph","Photography")</f>
        <v>Photography</v>
      </c>
      <c r="I76" s="11">
        <f>'Raw Data'!E76</f>
        <v>10</v>
      </c>
      <c r="J76" s="13">
        <f>'Raw Data'!F76</f>
        <v>175000</v>
      </c>
      <c r="K76" s="17">
        <f>Table1[[#This Row],[Unit Price]]*Table1[[#This Row],[Units Sold]]</f>
        <v>1750000</v>
      </c>
      <c r="L76" s="10" t="str">
        <f>UPPER(TRIM(CLEAN(SUBSTITUTE(SUBSTITUTE(SUBSTITUTE('Raw Data'!G76,",",""),".","")," ",""))))</f>
        <v>AISHABELLO</v>
      </c>
      <c r="M76" s="16" t="str" cm="1">
        <f t="array" ref="M76">_xlfn.IFS(LEFT(SUBSTITUTE('Raw Data'!H76," ",""),1)="M", "Musa Enterprrises",LEFT(SUBSTITUTE('Raw Data'!H76," ",""),1)="o", "Omega Wholesale",LEFT(SUBSTITUTE('Raw Data'!H76," ",""),4)="Tola", "Tola Ventures", LEFT(SUBSTITUTE('Raw Data'!H76," ",""),1)="T", "Tope &amp; Sons",LEFT(SUBSTITUTE('Raw Data'!H76," ",""),1)="z","Zainab Global",LEFT(SUBSTITUTE('Raw Data'!H76," ",""),2)="Ma","Maryam Ltd",LEFT(SUBSTITUTE('Raw Data'!H76," ",""),1)="j","Jide Superstores",LEFT(SUBSTITUTE('Raw Data'!H76," ",""),1)="f","Femi Tech",LEFT(SUBSTITUTE('Raw Data'!H76," ",""),1)="k","Kelvin Tech",LEFT(SUBSTITUTE('Raw Data'!H76," ",""),1)="A","Adewale Stores",LEFT(SUBSTITUTE('Raw Data'!H76," ",""),2)="Al","Alpha Retailers",LEFT(SUBSTITUTE('Raw Data'!H76," ",""),1)="b","Bright Solutions",LEFT(SUBSTITUTE('Raw Data'!H76," ",""),1)="c","Chika Mart",LEFT(SUBSTITUTE('Raw Data'!H76," ",""),1)="e","Emeka Traders")</f>
        <v>Jide Superstores</v>
      </c>
    </row>
    <row r="77" spans="1:13" x14ac:dyDescent="0.25">
      <c r="A77" s="20" t="str">
        <f>UPPER(SUBSTITUTE(SUBSTITUTE(SUBSTITUTE(CLEAN('Raw Data'!A77),"-","")," ",""),".",""))</f>
        <v>26MAR2025</v>
      </c>
      <c r="B77" s="20" t="str">
        <f>LEFT(Table1[[#This Row],[Raw Date]],2)</f>
        <v>26</v>
      </c>
      <c r="C77" s="20" t="str">
        <f>SUBSTITUTE(SUBSTITUTE(SUBSTITUTE(MID(Table1[[#This Row],[Raw Date]],3,3),"AMR","MAR"),"JNA","JAN"),"PAR","APR")</f>
        <v>MAR</v>
      </c>
      <c r="D77" s="30">
        <f>IF(YEAR(RIGHT(Table1[[#This Row],[Raw Date]],4))&lt;&gt;2025,2025,0)</f>
        <v>2025</v>
      </c>
      <c r="E77" s="20" t="str">
        <f t="shared" si="2"/>
        <v>26-MAR-2025</v>
      </c>
      <c r="F77" s="10" t="str" cm="1">
        <f t="array" ref="F77">_xlfn.IFS(LEFT(SUBSTITUTE('Raw Data'!B77," ",""),1)="s", "South", LEFT(SUBSTITUTE('Raw Data'!B77," ",""),1)="n", "North",LEFT(SUBSTITUTE('Raw Data'!B77," ",""),1)="e","East",LEFT(SUBSTITUTE('Raw Data'!B77," ",""),1)="w","West")</f>
        <v>East</v>
      </c>
      <c r="G77" s="10" t="str">
        <f>PROPER(CLEAN(SUBSTITUTE(SUBSTITUTE(SUBSTITUTE('Raw Data'!C77," ",""),",",""),".","")))</f>
        <v>Speakers10</v>
      </c>
      <c r="H77" s="12" t="str" cm="1">
        <f t="array" ref="H77">_xlfn.IFS(LEFT(SUBSTITUTE('Raw Data'!D77," ",""),2)="pe", "Peripherals",LEFT(SUBSTITUTE('Raw Data'!D77," ",""),2)="au", "Audio",LEFT(SUBSTITUTE('Raw Data'!D77," ",""),2)="co", "Computers", LEFT(SUBSTITUTE('Raw Data'!D77," ",""),1)="e", "Electronics",LEFT(SUBSTITUTE('Raw Data'!D77," ",""),2)="mo","Mobile",LEFT(SUBSTITUTE('Raw Data'!D77," ",""),2)="ph","Photography")</f>
        <v>Audio</v>
      </c>
      <c r="I77" s="11">
        <f>'Raw Data'!E77</f>
        <v>5</v>
      </c>
      <c r="J77" s="13">
        <f>'Raw Data'!F77</f>
        <v>85000</v>
      </c>
      <c r="K77" s="17">
        <f>Table1[[#This Row],[Unit Price]]*Table1[[#This Row],[Units Sold]]</f>
        <v>425000</v>
      </c>
      <c r="L77" s="10" t="str">
        <f>UPPER(TRIM(CLEAN(SUBSTITUTE(SUBSTITUTE(SUBSTITUTE('Raw Data'!G77,",",""),".","")," ",""))))</f>
        <v>GRACEAMOS</v>
      </c>
      <c r="M77" s="16" t="str" cm="1">
        <f t="array" ref="M77">_xlfn.IFS(LEFT(SUBSTITUTE('Raw Data'!H77," ",""),1)="M", "Musa Enterprrises",LEFT(SUBSTITUTE('Raw Data'!H77," ",""),1)="o", "Omega Wholesale",LEFT(SUBSTITUTE('Raw Data'!H77," ",""),4)="Tola", "Tola Ventures", LEFT(SUBSTITUTE('Raw Data'!H77," ",""),1)="T", "Tope &amp; Sons",LEFT(SUBSTITUTE('Raw Data'!H77," ",""),1)="z","Zainab Global",LEFT(SUBSTITUTE('Raw Data'!H77," ",""),2)="Ma","Maryam Ltd",LEFT(SUBSTITUTE('Raw Data'!H77," ",""),1)="j","Jide Superstores",LEFT(SUBSTITUTE('Raw Data'!H77," ",""),1)="f","Femi Tech",LEFT(SUBSTITUTE('Raw Data'!H77," ",""),1)="k","Kelvin Tech",LEFT(SUBSTITUTE('Raw Data'!H77," ",""),1)="A","Adewale Stores",LEFT(SUBSTITUTE('Raw Data'!H77," ",""),2)="Al","Alpha Retailers",LEFT(SUBSTITUTE('Raw Data'!H77," ",""),1)="b","Bright Solutions",LEFT(SUBSTITUTE('Raw Data'!H77," ",""),1)="c","Chika Mart",LEFT(SUBSTITUTE('Raw Data'!H77," ",""),1)="e","Emeka Traders")</f>
        <v>Adewale Stores</v>
      </c>
    </row>
    <row r="78" spans="1:13" x14ac:dyDescent="0.25">
      <c r="A78" s="20" t="str">
        <f>UPPER(SUBSTITUTE(SUBSTITUTE(SUBSTITUTE(CLEAN('Raw Data'!A78),"-","")," ",""),".",""))</f>
        <v>12JAN2025</v>
      </c>
      <c r="B78" s="20" t="str">
        <f>LEFT(Table1[[#This Row],[Raw Date]],2)</f>
        <v>12</v>
      </c>
      <c r="C78" s="20" t="str">
        <f>SUBSTITUTE(SUBSTITUTE(SUBSTITUTE(MID(Table1[[#This Row],[Raw Date]],3,3),"AMR","MAR"),"JNA","JAN"),"PAR","APR")</f>
        <v>JAN</v>
      </c>
      <c r="D78" s="30">
        <f>IF(YEAR(RIGHT(Table1[[#This Row],[Raw Date]],4))&lt;&gt;2025,2025,0)</f>
        <v>2025</v>
      </c>
      <c r="E78" s="20" t="str">
        <f t="shared" si="2"/>
        <v>12-JAN-2025</v>
      </c>
      <c r="F78" s="10" t="str" cm="1">
        <f t="array" ref="F78">_xlfn.IFS(LEFT(SUBSTITUTE('Raw Data'!B78," ",""),1)="s", "South", LEFT(SUBSTITUTE('Raw Data'!B78," ",""),1)="n", "North",LEFT(SUBSTITUTE('Raw Data'!B78," ",""),1)="e","East",LEFT(SUBSTITUTE('Raw Data'!B78," ",""),1)="w","West")</f>
        <v>North</v>
      </c>
      <c r="G78" s="10" t="str">
        <f>PROPER(CLEAN(SUBSTITUTE(SUBSTITUTE(SUBSTITUTE('Raw Data'!C78," ",""),",",""),".","")))</f>
        <v>Tv43Q</v>
      </c>
      <c r="H78" s="12" t="str" cm="1">
        <f t="array" ref="H78">_xlfn.IFS(LEFT(SUBSTITUTE('Raw Data'!D78," ",""),2)="pe", "Peripherals",LEFT(SUBSTITUTE('Raw Data'!D78," ",""),2)="au", "Audio",LEFT(SUBSTITUTE('Raw Data'!D78," ",""),2)="co", "Computers", LEFT(SUBSTITUTE('Raw Data'!D78," ",""),1)="e", "Electronics",LEFT(SUBSTITUTE('Raw Data'!D78," ",""),2)="mo","Mobile",LEFT(SUBSTITUTE('Raw Data'!D78," ",""),2)="ph","Photography")</f>
        <v>Electronics</v>
      </c>
      <c r="I78" s="11">
        <f>'Raw Data'!E78</f>
        <v>17</v>
      </c>
      <c r="J78" s="13">
        <f>'Raw Data'!F78</f>
        <v>350000</v>
      </c>
      <c r="K78" s="17">
        <f>Table1[[#This Row],[Unit Price]]*Table1[[#This Row],[Units Sold]]</f>
        <v>5950000</v>
      </c>
      <c r="L78" s="10" t="str">
        <f>UPPER(TRIM(CLEAN(SUBSTITUTE(SUBSTITUTE(SUBSTITUTE('Raw Data'!G78,",",""),".","")," ",""))))</f>
        <v>MARYJOHN</v>
      </c>
      <c r="M78" s="16" t="str" cm="1">
        <f t="array" ref="M78">_xlfn.IFS(LEFT(SUBSTITUTE('Raw Data'!H78," ",""),1)="M", "Musa Enterprrises",LEFT(SUBSTITUTE('Raw Data'!H78," ",""),1)="o", "Omega Wholesale",LEFT(SUBSTITUTE('Raw Data'!H78," ",""),4)="Tola", "Tola Ventures", LEFT(SUBSTITUTE('Raw Data'!H78," ",""),1)="T", "Tope &amp; Sons",LEFT(SUBSTITUTE('Raw Data'!H78," ",""),1)="z","Zainab Global",LEFT(SUBSTITUTE('Raw Data'!H78," ",""),2)="Ma","Maryam Ltd",LEFT(SUBSTITUTE('Raw Data'!H78," ",""),1)="j","Jide Superstores",LEFT(SUBSTITUTE('Raw Data'!H78," ",""),1)="f","Femi Tech",LEFT(SUBSTITUTE('Raw Data'!H78," ",""),1)="k","Kelvin Tech",LEFT(SUBSTITUTE('Raw Data'!H78," ",""),1)="A","Adewale Stores",LEFT(SUBSTITUTE('Raw Data'!H78," ",""),2)="Al","Alpha Retailers",LEFT(SUBSTITUTE('Raw Data'!H78," ",""),1)="b","Bright Solutions",LEFT(SUBSTITUTE('Raw Data'!H78," ",""),1)="c","Chika Mart",LEFT(SUBSTITUTE('Raw Data'!H78," ",""),1)="e","Emeka Traders")</f>
        <v>Emeka Traders</v>
      </c>
    </row>
    <row r="79" spans="1:13" x14ac:dyDescent="0.25">
      <c r="A79" s="20" t="str">
        <f>UPPER(SUBSTITUTE(SUBSTITUTE(SUBSTITUTE(CLEAN('Raw Data'!A79),"-","")," ",""),".",""))</f>
        <v>23JAN2025</v>
      </c>
      <c r="B79" s="20" t="str">
        <f>LEFT(Table1[[#This Row],[Raw Date]],2)</f>
        <v>23</v>
      </c>
      <c r="C79" s="20" t="str">
        <f>SUBSTITUTE(SUBSTITUTE(SUBSTITUTE(MID(Table1[[#This Row],[Raw Date]],3,3),"AMR","MAR"),"JNA","JAN"),"PAR","APR")</f>
        <v>JAN</v>
      </c>
      <c r="D79" s="30">
        <f>IF(YEAR(RIGHT(Table1[[#This Row],[Raw Date]],4))&lt;&gt;2025,2025,0)</f>
        <v>2025</v>
      </c>
      <c r="E79" s="20" t="str">
        <f t="shared" si="2"/>
        <v>23-JAN-2025</v>
      </c>
      <c r="F79" s="10" t="str" cm="1">
        <f t="array" ref="F79">_xlfn.IFS(LEFT(SUBSTITUTE('Raw Data'!B79," ",""),1)="s", "South", LEFT(SUBSTITUTE('Raw Data'!B79," ",""),1)="n", "North",LEFT(SUBSTITUTE('Raw Data'!B79," ",""),1)="e","East",LEFT(SUBSTITUTE('Raw Data'!B79," ",""),1)="w","West")</f>
        <v>North</v>
      </c>
      <c r="G79" s="10" t="str">
        <f>PROPER(CLEAN(SUBSTITUTE(SUBSTITUTE(SUBSTITUTE('Raw Data'!C79," ",""),",",""),".","")))</f>
        <v>Tv43Q</v>
      </c>
      <c r="H79" s="12" t="str" cm="1">
        <f t="array" ref="H79">_xlfn.IFS(LEFT(SUBSTITUTE('Raw Data'!D79," ",""),2)="pe", "Peripherals",LEFT(SUBSTITUTE('Raw Data'!D79," ",""),2)="au", "Audio",LEFT(SUBSTITUTE('Raw Data'!D79," ",""),2)="co", "Computers", LEFT(SUBSTITUTE('Raw Data'!D79," ",""),1)="e", "Electronics",LEFT(SUBSTITUTE('Raw Data'!D79," ",""),2)="mo","Mobile",LEFT(SUBSTITUTE('Raw Data'!D79," ",""),2)="ph","Photography")</f>
        <v>Electronics</v>
      </c>
      <c r="I79" s="11">
        <f>'Raw Data'!E79</f>
        <v>13</v>
      </c>
      <c r="J79" s="13">
        <f>'Raw Data'!F79</f>
        <v>350000</v>
      </c>
      <c r="K79" s="17">
        <f>Table1[[#This Row],[Unit Price]]*Table1[[#This Row],[Units Sold]]</f>
        <v>4550000</v>
      </c>
      <c r="L79" s="10" t="str">
        <f>UPPER(TRIM(CLEAN(SUBSTITUTE(SUBSTITUTE(SUBSTITUTE('Raw Data'!G79,",",""),".","")," ",""))))</f>
        <v>FOLABALOGUN</v>
      </c>
      <c r="M79" s="16" t="str" cm="1">
        <f t="array" ref="M79">_xlfn.IFS(LEFT(SUBSTITUTE('Raw Data'!H79," ",""),1)="M", "Musa Enterprrises",LEFT(SUBSTITUTE('Raw Data'!H79," ",""),1)="o", "Omega Wholesale",LEFT(SUBSTITUTE('Raw Data'!H79," ",""),4)="Tola", "Tola Ventures", LEFT(SUBSTITUTE('Raw Data'!H79," ",""),1)="T", "Tope &amp; Sons",LEFT(SUBSTITUTE('Raw Data'!H79," ",""),1)="z","Zainab Global",LEFT(SUBSTITUTE('Raw Data'!H79," ",""),2)="Ma","Maryam Ltd",LEFT(SUBSTITUTE('Raw Data'!H79," ",""),1)="j","Jide Superstores",LEFT(SUBSTITUTE('Raw Data'!H79," ",""),1)="f","Femi Tech",LEFT(SUBSTITUTE('Raw Data'!H79," ",""),1)="k","Kelvin Tech",LEFT(SUBSTITUTE('Raw Data'!H79," ",""),1)="A","Adewale Stores",LEFT(SUBSTITUTE('Raw Data'!H79," ",""),2)="Al","Alpha Retailers",LEFT(SUBSTITUTE('Raw Data'!H79," ",""),1)="b","Bright Solutions",LEFT(SUBSTITUTE('Raw Data'!H79," ",""),1)="c","Chika Mart",LEFT(SUBSTITUTE('Raw Data'!H79," ",""),1)="e","Emeka Traders")</f>
        <v>Emeka Traders</v>
      </c>
    </row>
    <row r="80" spans="1:13" x14ac:dyDescent="0.25">
      <c r="A80" s="20" t="str">
        <f>UPPER(SUBSTITUTE(SUBSTITUTE(SUBSTITUTE(CLEAN('Raw Data'!A80),"-","")," ",""),".",""))</f>
        <v>05MAY2025</v>
      </c>
      <c r="B80" s="20" t="str">
        <f>LEFT(Table1[[#This Row],[Raw Date]],2)</f>
        <v>05</v>
      </c>
      <c r="C80" s="20" t="str">
        <f>SUBSTITUTE(SUBSTITUTE(SUBSTITUTE(MID(Table1[[#This Row],[Raw Date]],3,3),"AMR","MAR"),"JNA","JAN"),"PAR","APR")</f>
        <v>MAY</v>
      </c>
      <c r="D80" s="30">
        <f>IF(YEAR(RIGHT(Table1[[#This Row],[Raw Date]],4))&lt;&gt;2025,2025,0)</f>
        <v>2025</v>
      </c>
      <c r="E80" s="20" t="str">
        <f t="shared" si="2"/>
        <v>05-MAY-2025</v>
      </c>
      <c r="F80" s="10" t="str" cm="1">
        <f t="array" ref="F80">_xlfn.IFS(LEFT(SUBSTITUTE('Raw Data'!B80," ",""),1)="s", "South", LEFT(SUBSTITUTE('Raw Data'!B80," ",""),1)="n", "North",LEFT(SUBSTITUTE('Raw Data'!B80," ",""),1)="e","East",LEFT(SUBSTITUTE('Raw Data'!B80," ",""),1)="w","West")</f>
        <v>North</v>
      </c>
      <c r="G80" s="10" t="str">
        <f>PROPER(CLEAN(SUBSTITUTE(SUBSTITUTE(SUBSTITUTE('Raw Data'!C80," ",""),",",""),".","")))</f>
        <v>Tv43Q</v>
      </c>
      <c r="H80" s="12" t="str" cm="1">
        <f t="array" ref="H80">_xlfn.IFS(LEFT(SUBSTITUTE('Raw Data'!D80," ",""),2)="pe", "Peripherals",LEFT(SUBSTITUTE('Raw Data'!D80," ",""),2)="au", "Audio",LEFT(SUBSTITUTE('Raw Data'!D80," ",""),2)="co", "Computers", LEFT(SUBSTITUTE('Raw Data'!D80," ",""),1)="e", "Electronics",LEFT(SUBSTITUTE('Raw Data'!D80," ",""),2)="mo","Mobile",LEFT(SUBSTITUTE('Raw Data'!D80," ",""),2)="ph","Photography")</f>
        <v>Electronics</v>
      </c>
      <c r="I80" s="11">
        <f>'Raw Data'!E80</f>
        <v>8</v>
      </c>
      <c r="J80" s="13">
        <f>'Raw Data'!F80</f>
        <v>350000</v>
      </c>
      <c r="K80" s="17">
        <f>Table1[[#This Row],[Unit Price]]*Table1[[#This Row],[Units Sold]]</f>
        <v>2800000</v>
      </c>
      <c r="L80" s="10" t="str">
        <f>UPPER(TRIM(CLEAN(SUBSTITUTE(SUBSTITUTE(SUBSTITUTE('Raw Data'!G80,",",""),".","")," ",""))))</f>
        <v>IFEANYIOKAFOR</v>
      </c>
      <c r="M80" s="16" t="str" cm="1">
        <f t="array" ref="M80">_xlfn.IFS(LEFT(SUBSTITUTE('Raw Data'!H80," ",""),1)="M", "Musa Enterprrises",LEFT(SUBSTITUTE('Raw Data'!H80," ",""),1)="o", "Omega Wholesale",LEFT(SUBSTITUTE('Raw Data'!H80," ",""),4)="Tola", "Tola Ventures", LEFT(SUBSTITUTE('Raw Data'!H80," ",""),1)="T", "Tope &amp; Sons",LEFT(SUBSTITUTE('Raw Data'!H80," ",""),1)="z","Zainab Global",LEFT(SUBSTITUTE('Raw Data'!H80," ",""),2)="Ma","Maryam Ltd",LEFT(SUBSTITUTE('Raw Data'!H80," ",""),1)="j","Jide Superstores",LEFT(SUBSTITUTE('Raw Data'!H80," ",""),1)="f","Femi Tech",LEFT(SUBSTITUTE('Raw Data'!H80," ",""),1)="k","Kelvin Tech",LEFT(SUBSTITUTE('Raw Data'!H80," ",""),1)="A","Adewale Stores",LEFT(SUBSTITUTE('Raw Data'!H80," ",""),2)="Al","Alpha Retailers",LEFT(SUBSTITUTE('Raw Data'!H80," ",""),1)="b","Bright Solutions",LEFT(SUBSTITUTE('Raw Data'!H80," ",""),1)="c","Chika Mart",LEFT(SUBSTITUTE('Raw Data'!H80," ",""),1)="e","Emeka Traders")</f>
        <v>Musa Enterprrises</v>
      </c>
    </row>
    <row r="81" spans="1:13" x14ac:dyDescent="0.25">
      <c r="A81" s="20" t="str">
        <f>UPPER(SUBSTITUTE(SUBSTITUTE(SUBSTITUTE(CLEAN('Raw Data'!A81),"-","")," ",""),".",""))</f>
        <v>19MAY2025</v>
      </c>
      <c r="B81" s="20" t="str">
        <f>LEFT(Table1[[#This Row],[Raw Date]],2)</f>
        <v>19</v>
      </c>
      <c r="C81" s="20" t="str">
        <f>SUBSTITUTE(SUBSTITUTE(SUBSTITUTE(MID(Table1[[#This Row],[Raw Date]],3,3),"AMR","MAR"),"JNA","JAN"),"PAR","APR")</f>
        <v>MAY</v>
      </c>
      <c r="D81" s="30">
        <f>IF(YEAR(RIGHT(Table1[[#This Row],[Raw Date]],4))&lt;&gt;2025,2025,0)</f>
        <v>2025</v>
      </c>
      <c r="E81" s="20" t="str">
        <f t="shared" si="2"/>
        <v>19-MAY-2025</v>
      </c>
      <c r="F81" s="10" t="str" cm="1">
        <f t="array" ref="F81">_xlfn.IFS(LEFT(SUBSTITUTE('Raw Data'!B81," ",""),1)="s", "South", LEFT(SUBSTITUTE('Raw Data'!B81," ",""),1)="n", "North",LEFT(SUBSTITUTE('Raw Data'!B81," ",""),1)="e","East",LEFT(SUBSTITUTE('Raw Data'!B81," ",""),1)="w","West")</f>
        <v>South</v>
      </c>
      <c r="G81" s="10" t="str">
        <f>PROPER(CLEAN(SUBSTITUTE(SUBSTITUTE(SUBSTITUTE('Raw Data'!C81," ",""),",",""),".","")))</f>
        <v>Speakers10</v>
      </c>
      <c r="H81" s="12" t="str" cm="1">
        <f t="array" ref="H81">_xlfn.IFS(LEFT(SUBSTITUTE('Raw Data'!D81," ",""),2)="pe", "Peripherals",LEFT(SUBSTITUTE('Raw Data'!D81," ",""),2)="au", "Audio",LEFT(SUBSTITUTE('Raw Data'!D81," ",""),2)="co", "Computers", LEFT(SUBSTITUTE('Raw Data'!D81," ",""),1)="e", "Electronics",LEFT(SUBSTITUTE('Raw Data'!D81," ",""),2)="mo","Mobile",LEFT(SUBSTITUTE('Raw Data'!D81," ",""),2)="ph","Photography")</f>
        <v>Audio</v>
      </c>
      <c r="I81" s="11">
        <f>'Raw Data'!E81</f>
        <v>13</v>
      </c>
      <c r="J81" s="13">
        <f>'Raw Data'!F81</f>
        <v>85000</v>
      </c>
      <c r="K81" s="17">
        <f>Table1[[#This Row],[Unit Price]]*Table1[[#This Row],[Units Sold]]</f>
        <v>1105000</v>
      </c>
      <c r="L81" s="10" t="str">
        <f>UPPER(TRIM(CLEAN(SUBSTITUTE(SUBSTITUTE(SUBSTITUTE('Raw Data'!G81,",",""),".","")," ",""))))</f>
        <v>AISHABELLO</v>
      </c>
      <c r="M81" s="16" t="str" cm="1">
        <f t="array" ref="M81">_xlfn.IFS(LEFT(SUBSTITUTE('Raw Data'!H81," ",""),1)="M", "Musa Enterprrises",LEFT(SUBSTITUTE('Raw Data'!H81," ",""),1)="o", "Omega Wholesale",LEFT(SUBSTITUTE('Raw Data'!H81," ",""),4)="Tola", "Tola Ventures", LEFT(SUBSTITUTE('Raw Data'!H81," ",""),1)="T", "Tope &amp; Sons",LEFT(SUBSTITUTE('Raw Data'!H81," ",""),1)="z","Zainab Global",LEFT(SUBSTITUTE('Raw Data'!H81," ",""),2)="Ma","Maryam Ltd",LEFT(SUBSTITUTE('Raw Data'!H81," ",""),1)="j","Jide Superstores",LEFT(SUBSTITUTE('Raw Data'!H81," ",""),1)="f","Femi Tech",LEFT(SUBSTITUTE('Raw Data'!H81," ",""),1)="k","Kelvin Tech",LEFT(SUBSTITUTE('Raw Data'!H81," ",""),1)="A","Adewale Stores",LEFT(SUBSTITUTE('Raw Data'!H81," ",""),2)="Al","Alpha Retailers",LEFT(SUBSTITUTE('Raw Data'!H81," ",""),1)="b","Bright Solutions",LEFT(SUBSTITUTE('Raw Data'!H81," ",""),1)="c","Chika Mart",LEFT(SUBSTITUTE('Raw Data'!H81," ",""),1)="e","Emeka Traders")</f>
        <v>Musa Enterprrises</v>
      </c>
    </row>
    <row r="82" spans="1:13" x14ac:dyDescent="0.25">
      <c r="A82" s="20" t="str">
        <f>UPPER(SUBSTITUTE(SUBSTITUTE(SUBSTITUTE(CLEAN('Raw Data'!A82),"-","")," ",""),".",""))</f>
        <v>04APR2025</v>
      </c>
      <c r="B82" s="20" t="str">
        <f>LEFT(Table1[[#This Row],[Raw Date]],2)</f>
        <v>04</v>
      </c>
      <c r="C82" s="20" t="str">
        <f>SUBSTITUTE(SUBSTITUTE(SUBSTITUTE(MID(Table1[[#This Row],[Raw Date]],3,3),"AMR","MAR"),"JNA","JAN"),"PAR","APR")</f>
        <v>APR</v>
      </c>
      <c r="D82" s="30">
        <f>IF(YEAR(RIGHT(Table1[[#This Row],[Raw Date]],4))&lt;&gt;2025,2025,0)</f>
        <v>2025</v>
      </c>
      <c r="E82" s="20" t="str">
        <f t="shared" si="2"/>
        <v>04-APR-2025</v>
      </c>
      <c r="F82" s="10" t="str" cm="1">
        <f t="array" ref="F82">_xlfn.IFS(LEFT(SUBSTITUTE('Raw Data'!B82," ",""),1)="s", "South", LEFT(SUBSTITUTE('Raw Data'!B82," ",""),1)="n", "North",LEFT(SUBSTITUTE('Raw Data'!B82," ",""),1)="e","East",LEFT(SUBSTITUTE('Raw Data'!B82," ",""),1)="w","West")</f>
        <v>East</v>
      </c>
      <c r="G82" s="10" t="str">
        <f>PROPER(CLEAN(SUBSTITUTE(SUBSTITUTE(SUBSTITUTE('Raw Data'!C82," ",""),",",""),".","")))</f>
        <v>Tablett8</v>
      </c>
      <c r="H82" s="12" t="str" cm="1">
        <f t="array" ref="H82">_xlfn.IFS(LEFT(SUBSTITUTE('Raw Data'!D82," ",""),2)="pe", "Peripherals",LEFT(SUBSTITUTE('Raw Data'!D82," ",""),2)="au", "Audio",LEFT(SUBSTITUTE('Raw Data'!D82," ",""),2)="co", "Computers", LEFT(SUBSTITUTE('Raw Data'!D82," ",""),1)="e", "Electronics",LEFT(SUBSTITUTE('Raw Data'!D82," ",""),2)="mo","Mobile",LEFT(SUBSTITUTE('Raw Data'!D82," ",""),2)="ph","Photography")</f>
        <v>Mobile</v>
      </c>
      <c r="I82" s="11">
        <f>'Raw Data'!E82</f>
        <v>17</v>
      </c>
      <c r="J82" s="13">
        <f>'Raw Data'!F82</f>
        <v>150000</v>
      </c>
      <c r="K82" s="17">
        <f>Table1[[#This Row],[Unit Price]]*Table1[[#This Row],[Units Sold]]</f>
        <v>2550000</v>
      </c>
      <c r="L82" s="10" t="str">
        <f>UPPER(TRIM(CLEAN(SUBSTITUTE(SUBSTITUTE(SUBSTITUTE('Raw Data'!G82,",",""),".","")," ",""))))</f>
        <v>FOLABALOGUN</v>
      </c>
      <c r="M82" s="16" t="str" cm="1">
        <f t="array" ref="M82">_xlfn.IFS(LEFT(SUBSTITUTE('Raw Data'!H82," ",""),1)="M", "Musa Enterprrises",LEFT(SUBSTITUTE('Raw Data'!H82," ",""),1)="o", "Omega Wholesale",LEFT(SUBSTITUTE('Raw Data'!H82," ",""),4)="Tola", "Tola Ventures", LEFT(SUBSTITUTE('Raw Data'!H82," ",""),1)="T", "Tope &amp; Sons",LEFT(SUBSTITUTE('Raw Data'!H82," ",""),1)="z","Zainab Global",LEFT(SUBSTITUTE('Raw Data'!H82," ",""),2)="Ma","Maryam Ltd",LEFT(SUBSTITUTE('Raw Data'!H82," ",""),1)="j","Jide Superstores",LEFT(SUBSTITUTE('Raw Data'!H82," ",""),1)="f","Femi Tech",LEFT(SUBSTITUTE('Raw Data'!H82," ",""),1)="k","Kelvin Tech",LEFT(SUBSTITUTE('Raw Data'!H82," ",""),1)="A","Adewale Stores",LEFT(SUBSTITUTE('Raw Data'!H82," ",""),2)="Al","Alpha Retailers",LEFT(SUBSTITUTE('Raw Data'!H82," ",""),1)="b","Bright Solutions",LEFT(SUBSTITUTE('Raw Data'!H82," ",""),1)="c","Chika Mart",LEFT(SUBSTITUTE('Raw Data'!H82," ",""),1)="e","Emeka Traders")</f>
        <v>Musa Enterprrises</v>
      </c>
    </row>
    <row r="83" spans="1:13" x14ac:dyDescent="0.25">
      <c r="A83" s="20" t="str">
        <f>UPPER(SUBSTITUTE(SUBSTITUTE(SUBSTITUTE(CLEAN('Raw Data'!A83),"-","")," ",""),".",""))</f>
        <v>26FEB2025</v>
      </c>
      <c r="B83" s="20" t="str">
        <f>LEFT(Table1[[#This Row],[Raw Date]],2)</f>
        <v>26</v>
      </c>
      <c r="C83" s="20" t="str">
        <f>SUBSTITUTE(SUBSTITUTE(SUBSTITUTE(MID(Table1[[#This Row],[Raw Date]],3,3),"AMR","MAR"),"JNA","JAN"),"PAR","APR")</f>
        <v>FEB</v>
      </c>
      <c r="D83" s="30">
        <f>IF(YEAR(RIGHT(Table1[[#This Row],[Raw Date]],4))&lt;&gt;2025,2025,0)</f>
        <v>2025</v>
      </c>
      <c r="E83" s="20" t="str">
        <f t="shared" si="2"/>
        <v>26-FEB-2025</v>
      </c>
      <c r="F83" s="10" t="str" cm="1">
        <f t="array" ref="F83">_xlfn.IFS(LEFT(SUBSTITUTE('Raw Data'!B83," ",""),1)="s", "South", LEFT(SUBSTITUTE('Raw Data'!B83," ",""),1)="n", "North",LEFT(SUBSTITUTE('Raw Data'!B83," ",""),1)="e","East",LEFT(SUBSTITUTE('Raw Data'!B83," ",""),1)="w","West")</f>
        <v>South</v>
      </c>
      <c r="G83" s="10" t="str">
        <f>PROPER(CLEAN(SUBSTITUTE(SUBSTITUTE(SUBSTITUTE('Raw Data'!C83," ",""),",",""),".","")))</f>
        <v>Monitorm24</v>
      </c>
      <c r="H83" s="12" t="str" cm="1">
        <f t="array" ref="H83">_xlfn.IFS(LEFT(SUBSTITUTE('Raw Data'!D83," ",""),2)="pe", "Peripherals",LEFT(SUBSTITUTE('Raw Data'!D83," ",""),2)="au", "Audio",LEFT(SUBSTITUTE('Raw Data'!D83," ",""),2)="co", "Computers", LEFT(SUBSTITUTE('Raw Data'!D83," ",""),1)="e", "Electronics",LEFT(SUBSTITUTE('Raw Data'!D83," ",""),2)="mo","Mobile",LEFT(SUBSTITUTE('Raw Data'!D83," ",""),2)="ph","Photography")</f>
        <v>Peripherals</v>
      </c>
      <c r="I83" s="11">
        <f>'Raw Data'!E83</f>
        <v>19</v>
      </c>
      <c r="J83" s="13">
        <f>'Raw Data'!F83</f>
        <v>65000</v>
      </c>
      <c r="K83" s="17">
        <f>Table1[[#This Row],[Unit Price]]*Table1[[#This Row],[Units Sold]]</f>
        <v>1235000</v>
      </c>
      <c r="L83" s="10" t="str">
        <f>UPPER(TRIM(CLEAN(SUBSTITUTE(SUBSTITUTE(SUBSTITUTE('Raw Data'!G83,",",""),".","")," ",""))))</f>
        <v>GRACEAMOS</v>
      </c>
      <c r="M83" s="16" t="str" cm="1">
        <f t="array" ref="M83">_xlfn.IFS(LEFT(SUBSTITUTE('Raw Data'!H83," ",""),1)="M", "Musa Enterprrises",LEFT(SUBSTITUTE('Raw Data'!H83," ",""),1)="o", "Omega Wholesale",LEFT(SUBSTITUTE('Raw Data'!H83," ",""),4)="Tola", "Tola Ventures", LEFT(SUBSTITUTE('Raw Data'!H83," ",""),1)="T", "Tope &amp; Sons",LEFT(SUBSTITUTE('Raw Data'!H83," ",""),1)="z","Zainab Global",LEFT(SUBSTITUTE('Raw Data'!H83," ",""),2)="Ma","Maryam Ltd",LEFT(SUBSTITUTE('Raw Data'!H83," ",""),1)="j","Jide Superstores",LEFT(SUBSTITUTE('Raw Data'!H83," ",""),1)="f","Femi Tech",LEFT(SUBSTITUTE('Raw Data'!H83," ",""),1)="k","Kelvin Tech",LEFT(SUBSTITUTE('Raw Data'!H83," ",""),1)="A","Adewale Stores",LEFT(SUBSTITUTE('Raw Data'!H83," ",""),2)="Al","Alpha Retailers",LEFT(SUBSTITUTE('Raw Data'!H83," ",""),1)="b","Bright Solutions",LEFT(SUBSTITUTE('Raw Data'!H83," ",""),1)="c","Chika Mart",LEFT(SUBSTITUTE('Raw Data'!H83," ",""),1)="e","Emeka Traders")</f>
        <v>Femi Tech</v>
      </c>
    </row>
    <row r="84" spans="1:13" x14ac:dyDescent="0.25">
      <c r="A84" s="20" t="str">
        <f>UPPER(SUBSTITUTE(SUBSTITUTE(SUBSTITUTE(CLEAN('Raw Data'!A84),"-","")," ",""),".",""))</f>
        <v>03JUN2025</v>
      </c>
      <c r="B84" s="20" t="str">
        <f>LEFT(Table1[[#This Row],[Raw Date]],2)</f>
        <v>03</v>
      </c>
      <c r="C84" s="20" t="str">
        <f>SUBSTITUTE(SUBSTITUTE(SUBSTITUTE(MID(Table1[[#This Row],[Raw Date]],3,3),"AMR","MAR"),"JNA","JAN"),"PAR","APR")</f>
        <v>JUN</v>
      </c>
      <c r="D84" s="30">
        <f>IF(YEAR(RIGHT(Table1[[#This Row],[Raw Date]],4))&lt;&gt;2025,2025,0)</f>
        <v>2025</v>
      </c>
      <c r="E84" s="20" t="str">
        <f t="shared" si="2"/>
        <v>03-JUN-2025</v>
      </c>
      <c r="F84" s="10" t="str" cm="1">
        <f t="array" ref="F84">_xlfn.IFS(LEFT(SUBSTITUTE('Raw Data'!B84," ",""),1)="s", "South", LEFT(SUBSTITUTE('Raw Data'!B84," ",""),1)="n", "North",LEFT(SUBSTITUTE('Raw Data'!B84," ",""),1)="e","East",LEFT(SUBSTITUTE('Raw Data'!B84," ",""),1)="w","West")</f>
        <v>North</v>
      </c>
      <c r="G84" s="10" t="str">
        <f>PROPER(CLEAN(SUBSTITUTE(SUBSTITUTE(SUBSTITUTE('Raw Data'!C84," ",""),",",""),".","")))</f>
        <v>Tablett8</v>
      </c>
      <c r="H84" s="12" t="str" cm="1">
        <f t="array" ref="H84">_xlfn.IFS(LEFT(SUBSTITUTE('Raw Data'!D84," ",""),2)="pe", "Peripherals",LEFT(SUBSTITUTE('Raw Data'!D84," ",""),2)="au", "Audio",LEFT(SUBSTITUTE('Raw Data'!D84," ",""),2)="co", "Computers", LEFT(SUBSTITUTE('Raw Data'!D84," ",""),1)="e", "Electronics",LEFT(SUBSTITUTE('Raw Data'!D84," ",""),2)="mo","Mobile",LEFT(SUBSTITUTE('Raw Data'!D84," ",""),2)="ph","Photography")</f>
        <v>Mobile</v>
      </c>
      <c r="I84" s="11">
        <f>'Raw Data'!E84</f>
        <v>1</v>
      </c>
      <c r="J84" s="13">
        <f>'Raw Data'!F84</f>
        <v>150000</v>
      </c>
      <c r="K84" s="17">
        <f>Table1[[#This Row],[Unit Price]]*Table1[[#This Row],[Units Sold]]</f>
        <v>150000</v>
      </c>
      <c r="L84" s="10" t="str">
        <f>UPPER(TRIM(CLEAN(SUBSTITUTE(SUBSTITUTE(SUBSTITUTE('Raw Data'!G84,",",""),".","")," ",""))))</f>
        <v>GRACEAMOS</v>
      </c>
      <c r="M84" s="16" t="str" cm="1">
        <f t="array" ref="M84">_xlfn.IFS(LEFT(SUBSTITUTE('Raw Data'!H84," ",""),1)="M", "Musa Enterprrises",LEFT(SUBSTITUTE('Raw Data'!H84," ",""),1)="o", "Omega Wholesale",LEFT(SUBSTITUTE('Raw Data'!H84," ",""),4)="Tola", "Tola Ventures", LEFT(SUBSTITUTE('Raw Data'!H84," ",""),1)="T", "Tope &amp; Sons",LEFT(SUBSTITUTE('Raw Data'!H84," ",""),1)="z","Zainab Global",LEFT(SUBSTITUTE('Raw Data'!H84," ",""),2)="Ma","Maryam Ltd",LEFT(SUBSTITUTE('Raw Data'!H84," ",""),1)="j","Jide Superstores",LEFT(SUBSTITUTE('Raw Data'!H84," ",""),1)="f","Femi Tech",LEFT(SUBSTITUTE('Raw Data'!H84," ",""),1)="k","Kelvin Tech",LEFT(SUBSTITUTE('Raw Data'!H84," ",""),1)="A","Adewale Stores",LEFT(SUBSTITUTE('Raw Data'!H84," ",""),2)="Al","Alpha Retailers",LEFT(SUBSTITUTE('Raw Data'!H84," ",""),1)="b","Bright Solutions",LEFT(SUBSTITUTE('Raw Data'!H84," ",""),1)="c","Chika Mart",LEFT(SUBSTITUTE('Raw Data'!H84," ",""),1)="e","Emeka Traders")</f>
        <v>Adewale Stores</v>
      </c>
    </row>
    <row r="85" spans="1:13" x14ac:dyDescent="0.25">
      <c r="A85" s="20" t="str">
        <f>UPPER(SUBSTITUTE(SUBSTITUTE(SUBSTITUTE(CLEAN('Raw Data'!A85),"-","")," ",""),".",""))</f>
        <v>05APR2025</v>
      </c>
      <c r="B85" s="20" t="str">
        <f>LEFT(Table1[[#This Row],[Raw Date]],2)</f>
        <v>05</v>
      </c>
      <c r="C85" s="20" t="str">
        <f>SUBSTITUTE(SUBSTITUTE(SUBSTITUTE(MID(Table1[[#This Row],[Raw Date]],3,3),"AMR","MAR"),"JNA","JAN"),"PAR","APR")</f>
        <v>APR</v>
      </c>
      <c r="D85" s="30">
        <f>IF(YEAR(RIGHT(Table1[[#This Row],[Raw Date]],4))&lt;&gt;2025,2025,0)</f>
        <v>2025</v>
      </c>
      <c r="E85" s="20" t="str">
        <f t="shared" si="2"/>
        <v>05-APR-2025</v>
      </c>
      <c r="F85" s="10" t="str" cm="1">
        <f t="array" ref="F85">_xlfn.IFS(LEFT(SUBSTITUTE('Raw Data'!B85," ",""),1)="s", "South", LEFT(SUBSTITUTE('Raw Data'!B85," ",""),1)="n", "North",LEFT(SUBSTITUTE('Raw Data'!B85," ",""),1)="e","East",LEFT(SUBSTITUTE('Raw Data'!B85," ",""),1)="w","West")</f>
        <v>East</v>
      </c>
      <c r="G85" s="10" t="str">
        <f>PROPER(CLEAN(SUBSTITUTE(SUBSTITUTE(SUBSTITUTE('Raw Data'!C85," ",""),",",""),".","")))</f>
        <v>Laptopa15</v>
      </c>
      <c r="H85" s="12" t="str" cm="1">
        <f t="array" ref="H85">_xlfn.IFS(LEFT(SUBSTITUTE('Raw Data'!D85," ",""),2)="pe", "Peripherals",LEFT(SUBSTITUTE('Raw Data'!D85," ",""),2)="au", "Audio",LEFT(SUBSTITUTE('Raw Data'!D85," ",""),2)="co", "Computers", LEFT(SUBSTITUTE('Raw Data'!D85," ",""),1)="e", "Electronics",LEFT(SUBSTITUTE('Raw Data'!D85," ",""),2)="mo","Mobile",LEFT(SUBSTITUTE('Raw Data'!D85," ",""),2)="ph","Photography")</f>
        <v>Computers</v>
      </c>
      <c r="I85" s="11">
        <f>'Raw Data'!E85</f>
        <v>13</v>
      </c>
      <c r="J85" s="13">
        <f>'Raw Data'!F85</f>
        <v>250000</v>
      </c>
      <c r="K85" s="17">
        <f>Table1[[#This Row],[Unit Price]]*Table1[[#This Row],[Units Sold]]</f>
        <v>3250000</v>
      </c>
      <c r="L85" s="10" t="str">
        <f>UPPER(TRIM(CLEAN(SUBSTITUTE(SUBSTITUTE(SUBSTITUTE('Raw Data'!G85,",",""),".","")," ",""))))</f>
        <v>CHINEDUNWOSU</v>
      </c>
      <c r="M85" s="16" t="str" cm="1">
        <f t="array" ref="M85">_xlfn.IFS(LEFT(SUBSTITUTE('Raw Data'!H85," ",""),1)="M", "Musa Enterprrises",LEFT(SUBSTITUTE('Raw Data'!H85," ",""),1)="o", "Omega Wholesale",LEFT(SUBSTITUTE('Raw Data'!H85," ",""),4)="Tola", "Tola Ventures", LEFT(SUBSTITUTE('Raw Data'!H85," ",""),1)="T", "Tope &amp; Sons",LEFT(SUBSTITUTE('Raw Data'!H85," ",""),1)="z","Zainab Global",LEFT(SUBSTITUTE('Raw Data'!H85," ",""),2)="Ma","Maryam Ltd",LEFT(SUBSTITUTE('Raw Data'!H85," ",""),1)="j","Jide Superstores",LEFT(SUBSTITUTE('Raw Data'!H85," ",""),1)="f","Femi Tech",LEFT(SUBSTITUTE('Raw Data'!H85," ",""),1)="k","Kelvin Tech",LEFT(SUBSTITUTE('Raw Data'!H85," ",""),1)="A","Adewale Stores",LEFT(SUBSTITUTE('Raw Data'!H85," ",""),2)="Al","Alpha Retailers",LEFT(SUBSTITUTE('Raw Data'!H85," ",""),1)="b","Bright Solutions",LEFT(SUBSTITUTE('Raw Data'!H85," ",""),1)="c","Chika Mart",LEFT(SUBSTITUTE('Raw Data'!H85," ",""),1)="e","Emeka Traders")</f>
        <v>Musa Enterprrises</v>
      </c>
    </row>
    <row r="86" spans="1:13" x14ac:dyDescent="0.25">
      <c r="A86" s="20" t="str">
        <f>UPPER(SUBSTITUTE(SUBSTITUTE(SUBSTITUTE(CLEAN('Raw Data'!A86),"-","")," ",""),".",""))</f>
        <v>30JAN2025</v>
      </c>
      <c r="B86" s="20" t="str">
        <f>LEFT(Table1[[#This Row],[Raw Date]],2)</f>
        <v>30</v>
      </c>
      <c r="C86" s="20" t="str">
        <f>SUBSTITUTE(SUBSTITUTE(SUBSTITUTE(MID(Table1[[#This Row],[Raw Date]],3,3),"AMR","MAR"),"JNA","JAN"),"PAR","APR")</f>
        <v>JAN</v>
      </c>
      <c r="D86" s="30">
        <f>IF(YEAR(RIGHT(Table1[[#This Row],[Raw Date]],4))&lt;&gt;2025,2025,0)</f>
        <v>2025</v>
      </c>
      <c r="E86" s="20" t="str">
        <f t="shared" si="2"/>
        <v>30-JAN-2025</v>
      </c>
      <c r="F86" s="10" t="str" cm="1">
        <f t="array" ref="F86">_xlfn.IFS(LEFT(SUBSTITUTE('Raw Data'!B86," ",""),1)="s", "South", LEFT(SUBSTITUTE('Raw Data'!B86," ",""),1)="n", "North",LEFT(SUBSTITUTE('Raw Data'!B86," ",""),1)="e","East",LEFT(SUBSTITUTE('Raw Data'!B86," ",""),1)="w","West")</f>
        <v>East</v>
      </c>
      <c r="G86" s="10" t="str">
        <f>PROPER(CLEAN(SUBSTITUTE(SUBSTITUTE(SUBSTITUTE('Raw Data'!C86," ",""),",",""),".","")))</f>
        <v>Monitorm24</v>
      </c>
      <c r="H86" s="12" t="str" cm="1">
        <f t="array" ref="H86">_xlfn.IFS(LEFT(SUBSTITUTE('Raw Data'!D86," ",""),2)="pe", "Peripherals",LEFT(SUBSTITUTE('Raw Data'!D86," ",""),2)="au", "Audio",LEFT(SUBSTITUTE('Raw Data'!D86," ",""),2)="co", "Computers", LEFT(SUBSTITUTE('Raw Data'!D86," ",""),1)="e", "Electronics",LEFT(SUBSTITUTE('Raw Data'!D86," ",""),2)="mo","Mobile",LEFT(SUBSTITUTE('Raw Data'!D86," ",""),2)="ph","Photography")</f>
        <v>Peripherals</v>
      </c>
      <c r="I86" s="11">
        <f>'Raw Data'!E86</f>
        <v>18</v>
      </c>
      <c r="J86" s="13">
        <f>'Raw Data'!F86</f>
        <v>65000</v>
      </c>
      <c r="K86" s="17">
        <f>Table1[[#This Row],[Unit Price]]*Table1[[#This Row],[Units Sold]]</f>
        <v>1170000</v>
      </c>
      <c r="L86" s="10" t="str">
        <f>UPPER(TRIM(CLEAN(SUBSTITUTE(SUBSTITUTE(SUBSTITUTE('Raw Data'!G86,",",""),".","")," ",""))))</f>
        <v>CHINEDUNWOSU</v>
      </c>
      <c r="M86" s="16" t="str" cm="1">
        <f t="array" ref="M86">_xlfn.IFS(LEFT(SUBSTITUTE('Raw Data'!H86," ",""),1)="M", "Musa Enterprrises",LEFT(SUBSTITUTE('Raw Data'!H86," ",""),1)="o", "Omega Wholesale",LEFT(SUBSTITUTE('Raw Data'!H86," ",""),4)="Tola", "Tola Ventures", LEFT(SUBSTITUTE('Raw Data'!H86," ",""),1)="T", "Tope &amp; Sons",LEFT(SUBSTITUTE('Raw Data'!H86," ",""),1)="z","Zainab Global",LEFT(SUBSTITUTE('Raw Data'!H86," ",""),2)="Ma","Maryam Ltd",LEFT(SUBSTITUTE('Raw Data'!H86," ",""),1)="j","Jide Superstores",LEFT(SUBSTITUTE('Raw Data'!H86," ",""),1)="f","Femi Tech",LEFT(SUBSTITUTE('Raw Data'!H86," ",""),1)="k","Kelvin Tech",LEFT(SUBSTITUTE('Raw Data'!H86," ",""),1)="A","Adewale Stores",LEFT(SUBSTITUTE('Raw Data'!H86," ",""),2)="Al","Alpha Retailers",LEFT(SUBSTITUTE('Raw Data'!H86," ",""),1)="b","Bright Solutions",LEFT(SUBSTITUTE('Raw Data'!H86," ",""),1)="c","Chika Mart",LEFT(SUBSTITUTE('Raw Data'!H86," ",""),1)="e","Emeka Traders")</f>
        <v>Tope &amp; Sons</v>
      </c>
    </row>
    <row r="87" spans="1:13" x14ac:dyDescent="0.25">
      <c r="A87" s="20" t="str">
        <f>UPPER(SUBSTITUTE(SUBSTITUTE(SUBSTITUTE(CLEAN('Raw Data'!A87),"-","")," ",""),".",""))</f>
        <v>31JAN2025</v>
      </c>
      <c r="B87" s="20" t="str">
        <f>LEFT(Table1[[#This Row],[Raw Date]],2)</f>
        <v>31</v>
      </c>
      <c r="C87" s="20" t="str">
        <f>SUBSTITUTE(SUBSTITUTE(SUBSTITUTE(MID(Table1[[#This Row],[Raw Date]],3,3),"AMR","MAR"),"JNA","JAN"),"PAR","APR")</f>
        <v>JAN</v>
      </c>
      <c r="D87" s="30">
        <f>IF(YEAR(RIGHT(Table1[[#This Row],[Raw Date]],4))&lt;&gt;2025,2025,0)</f>
        <v>2025</v>
      </c>
      <c r="E87" s="20" t="str">
        <f t="shared" si="2"/>
        <v>31-JAN-2025</v>
      </c>
      <c r="F87" s="10" t="str" cm="1">
        <f t="array" ref="F87">_xlfn.IFS(LEFT(SUBSTITUTE('Raw Data'!B87," ",""),1)="s", "South", LEFT(SUBSTITUTE('Raw Data'!B87," ",""),1)="n", "North",LEFT(SUBSTITUTE('Raw Data'!B87," ",""),1)="e","East",LEFT(SUBSTITUTE('Raw Data'!B87," ",""),1)="w","West")</f>
        <v>North</v>
      </c>
      <c r="G87" s="10" t="str">
        <f>PROPER(CLEAN(SUBSTITUTE(SUBSTITUTE(SUBSTITUTE('Raw Data'!C87," ",""),",",""),".","")))</f>
        <v>Laptopa15</v>
      </c>
      <c r="H87" s="12" t="str" cm="1">
        <f t="array" ref="H87">_xlfn.IFS(LEFT(SUBSTITUTE('Raw Data'!D87," ",""),2)="pe", "Peripherals",LEFT(SUBSTITUTE('Raw Data'!D87," ",""),2)="au", "Audio",LEFT(SUBSTITUTE('Raw Data'!D87," ",""),2)="co", "Computers", LEFT(SUBSTITUTE('Raw Data'!D87," ",""),1)="e", "Electronics",LEFT(SUBSTITUTE('Raw Data'!D87," ",""),2)="mo","Mobile",LEFT(SUBSTITUTE('Raw Data'!D87," ",""),2)="ph","Photography")</f>
        <v>Computers</v>
      </c>
      <c r="I87" s="11">
        <f>'Raw Data'!E87</f>
        <v>20</v>
      </c>
      <c r="J87" s="13">
        <f>'Raw Data'!F87</f>
        <v>250000</v>
      </c>
      <c r="K87" s="17">
        <f>Table1[[#This Row],[Unit Price]]*Table1[[#This Row],[Units Sold]]</f>
        <v>5000000</v>
      </c>
      <c r="L87" s="10" t="str">
        <f>UPPER(TRIM(CLEAN(SUBSTITUTE(SUBSTITUTE(SUBSTITUTE('Raw Data'!G87,",",""),".","")," ",""))))</f>
        <v>AISHABELLO</v>
      </c>
      <c r="M87" s="16" t="str" cm="1">
        <f t="array" ref="M87">_xlfn.IFS(LEFT(SUBSTITUTE('Raw Data'!H87," ",""),1)="M", "Musa Enterprrises",LEFT(SUBSTITUTE('Raw Data'!H87," ",""),1)="o", "Omega Wholesale",LEFT(SUBSTITUTE('Raw Data'!H87," ",""),4)="Tola", "Tola Ventures", LEFT(SUBSTITUTE('Raw Data'!H87," ",""),1)="T", "Tope &amp; Sons",LEFT(SUBSTITUTE('Raw Data'!H87," ",""),1)="z","Zainab Global",LEFT(SUBSTITUTE('Raw Data'!H87," ",""),2)="Ma","Maryam Ltd",LEFT(SUBSTITUTE('Raw Data'!H87," ",""),1)="j","Jide Superstores",LEFT(SUBSTITUTE('Raw Data'!H87," ",""),1)="f","Femi Tech",LEFT(SUBSTITUTE('Raw Data'!H87," ",""),1)="k","Kelvin Tech",LEFT(SUBSTITUTE('Raw Data'!H87," ",""),1)="A","Adewale Stores",LEFT(SUBSTITUTE('Raw Data'!H87," ",""),2)="Al","Alpha Retailers",LEFT(SUBSTITUTE('Raw Data'!H87," ",""),1)="b","Bright Solutions",LEFT(SUBSTITUTE('Raw Data'!H87," ",""),1)="c","Chika Mart",LEFT(SUBSTITUTE('Raw Data'!H87," ",""),1)="e","Emeka Traders")</f>
        <v>Omega Wholesale</v>
      </c>
    </row>
    <row r="88" spans="1:13" x14ac:dyDescent="0.25">
      <c r="A88" s="20" t="str">
        <f>UPPER(SUBSTITUTE(SUBSTITUTE(SUBSTITUTE(CLEAN('Raw Data'!A88),"-","")," ",""),".",""))</f>
        <v>27MAY0225</v>
      </c>
      <c r="B88" s="20" t="str">
        <f>LEFT(Table1[[#This Row],[Raw Date]],2)</f>
        <v>27</v>
      </c>
      <c r="C88" s="20" t="str">
        <f>SUBSTITUTE(SUBSTITUTE(SUBSTITUTE(MID(Table1[[#This Row],[Raw Date]],3,3),"AMR","MAR"),"JNA","JAN"),"PAR","APR")</f>
        <v>MAY</v>
      </c>
      <c r="D88" s="30">
        <f>IF(YEAR(RIGHT(Table1[[#This Row],[Raw Date]],4))&lt;&gt;2025,2025,0)</f>
        <v>2025</v>
      </c>
      <c r="E88" s="20" t="str">
        <f t="shared" si="2"/>
        <v>27-MAY-2025</v>
      </c>
      <c r="F88" s="10" t="str" cm="1">
        <f t="array" ref="F88">_xlfn.IFS(LEFT(SUBSTITUTE('Raw Data'!B88," ",""),1)="s", "South", LEFT(SUBSTITUTE('Raw Data'!B88," ",""),1)="n", "North",LEFT(SUBSTITUTE('Raw Data'!B88," ",""),1)="e","East",LEFT(SUBSTITUTE('Raw Data'!B88," ",""),1)="w","West")</f>
        <v>East</v>
      </c>
      <c r="G88" s="10" t="str">
        <f>PROPER(CLEAN(SUBSTITUTE(SUBSTITUTE(SUBSTITUTE('Raw Data'!C88," ",""),",",""),".","")))</f>
        <v>Phonex12</v>
      </c>
      <c r="H88" s="12" t="str" cm="1">
        <f t="array" ref="H88">_xlfn.IFS(LEFT(SUBSTITUTE('Raw Data'!D88," ",""),2)="pe", "Peripherals",LEFT(SUBSTITUTE('Raw Data'!D88," ",""),2)="au", "Audio",LEFT(SUBSTITUTE('Raw Data'!D88," ",""),2)="co", "Computers", LEFT(SUBSTITUTE('Raw Data'!D88," ",""),1)="e", "Electronics",LEFT(SUBSTITUTE('Raw Data'!D88," ",""),2)="mo","Mobile",LEFT(SUBSTITUTE('Raw Data'!D88," ",""),2)="ph","Photography")</f>
        <v>Mobile</v>
      </c>
      <c r="I88" s="11">
        <f>'Raw Data'!E88</f>
        <v>4</v>
      </c>
      <c r="J88" s="13">
        <f>'Raw Data'!F88</f>
        <v>180000</v>
      </c>
      <c r="K88" s="17">
        <f>Table1[[#This Row],[Unit Price]]*Table1[[#This Row],[Units Sold]]</f>
        <v>720000</v>
      </c>
      <c r="L88" s="10" t="str">
        <f>UPPER(TRIM(CLEAN(SUBSTITUTE(SUBSTITUTE(SUBSTITUTE('Raw Data'!G88,",",""),".","")," ",""))))</f>
        <v>AISHABELLO</v>
      </c>
      <c r="M88" s="16" t="str" cm="1">
        <f t="array" ref="M88">_xlfn.IFS(LEFT(SUBSTITUTE('Raw Data'!H88," ",""),1)="M", "Musa Enterprrises",LEFT(SUBSTITUTE('Raw Data'!H88," ",""),1)="o", "Omega Wholesale",LEFT(SUBSTITUTE('Raw Data'!H88," ",""),4)="Tola", "Tola Ventures", LEFT(SUBSTITUTE('Raw Data'!H88," ",""),1)="T", "Tope &amp; Sons",LEFT(SUBSTITUTE('Raw Data'!H88," ",""),1)="z","Zainab Global",LEFT(SUBSTITUTE('Raw Data'!H88," ",""),2)="Ma","Maryam Ltd",LEFT(SUBSTITUTE('Raw Data'!H88," ",""),1)="j","Jide Superstores",LEFT(SUBSTITUTE('Raw Data'!H88," ",""),1)="f","Femi Tech",LEFT(SUBSTITUTE('Raw Data'!H88," ",""),1)="k","Kelvin Tech",LEFT(SUBSTITUTE('Raw Data'!H88," ",""),1)="A","Adewale Stores",LEFT(SUBSTITUTE('Raw Data'!H88," ",""),2)="Al","Alpha Retailers",LEFT(SUBSTITUTE('Raw Data'!H88," ",""),1)="b","Bright Solutions",LEFT(SUBSTITUTE('Raw Data'!H88," ",""),1)="c","Chika Mart",LEFT(SUBSTITUTE('Raw Data'!H88," ",""),1)="e","Emeka Traders")</f>
        <v>Musa Enterprrises</v>
      </c>
    </row>
    <row r="89" spans="1:13" x14ac:dyDescent="0.25">
      <c r="A89" s="20" t="str">
        <f>UPPER(SUBSTITUTE(SUBSTITUTE(SUBSTITUTE(CLEAN('Raw Data'!A89),"-","")," ",""),".",""))</f>
        <v>08PAR2025</v>
      </c>
      <c r="B89" s="20" t="str">
        <f>LEFT(Table1[[#This Row],[Raw Date]],2)</f>
        <v>08</v>
      </c>
      <c r="C89" s="20" t="str">
        <f>SUBSTITUTE(SUBSTITUTE(SUBSTITUTE(MID(Table1[[#This Row],[Raw Date]],3,3),"AMR","MAR"),"JNA","JAN"),"PAR","APR")</f>
        <v>APR</v>
      </c>
      <c r="D89" s="30">
        <f>IF(YEAR(RIGHT(Table1[[#This Row],[Raw Date]],4))&lt;&gt;2025,2025,0)</f>
        <v>2025</v>
      </c>
      <c r="E89" s="20" t="str">
        <f t="shared" si="2"/>
        <v>08-APR-2025</v>
      </c>
      <c r="F89" s="10" t="str" cm="1">
        <f t="array" ref="F89">_xlfn.IFS(LEFT(SUBSTITUTE('Raw Data'!B89," ",""),1)="s", "South", LEFT(SUBSTITUTE('Raw Data'!B89," ",""),1)="n", "North",LEFT(SUBSTITUTE('Raw Data'!B89," ",""),1)="e","East",LEFT(SUBSTITUTE('Raw Data'!B89," ",""),1)="w","West")</f>
        <v>South</v>
      </c>
      <c r="G89" s="10" t="str">
        <f>PROPER(CLEAN(SUBSTITUTE(SUBSTITUTE(SUBSTITUTE('Raw Data'!C89," ",""),",",""),".","")))</f>
        <v>Tablett8</v>
      </c>
      <c r="H89" s="12" t="str" cm="1">
        <f t="array" ref="H89">_xlfn.IFS(LEFT(SUBSTITUTE('Raw Data'!D89," ",""),2)="pe", "Peripherals",LEFT(SUBSTITUTE('Raw Data'!D89," ",""),2)="au", "Audio",LEFT(SUBSTITUTE('Raw Data'!D89," ",""),2)="co", "Computers", LEFT(SUBSTITUTE('Raw Data'!D89," ",""),1)="e", "Electronics",LEFT(SUBSTITUTE('Raw Data'!D89," ",""),2)="mo","Mobile",LEFT(SUBSTITUTE('Raw Data'!D89," ",""),2)="ph","Photography")</f>
        <v>Mobile</v>
      </c>
      <c r="I89" s="11">
        <f>'Raw Data'!E89</f>
        <v>5</v>
      </c>
      <c r="J89" s="13">
        <f>'Raw Data'!F89</f>
        <v>150000</v>
      </c>
      <c r="K89" s="17">
        <f>Table1[[#This Row],[Unit Price]]*Table1[[#This Row],[Units Sold]]</f>
        <v>750000</v>
      </c>
      <c r="L89" s="10" t="str">
        <f>UPPER(TRIM(CLEAN(SUBSTITUTE(SUBSTITUTE(SUBSTITUTE('Raw Data'!G89,",",""),".","")," ",""))))</f>
        <v>CHINEDUNWOSU</v>
      </c>
      <c r="M89" s="16" t="str" cm="1">
        <f t="array" ref="M89">_xlfn.IFS(LEFT(SUBSTITUTE('Raw Data'!H89," ",""),1)="M", "Musa Enterprrises",LEFT(SUBSTITUTE('Raw Data'!H89," ",""),1)="o", "Omega Wholesale",LEFT(SUBSTITUTE('Raw Data'!H89," ",""),4)="Tola", "Tola Ventures", LEFT(SUBSTITUTE('Raw Data'!H89," ",""),1)="T", "Tope &amp; Sons",LEFT(SUBSTITUTE('Raw Data'!H89," ",""),1)="z","Zainab Global",LEFT(SUBSTITUTE('Raw Data'!H89," ",""),2)="Ma","Maryam Ltd",LEFT(SUBSTITUTE('Raw Data'!H89," ",""),1)="j","Jide Superstores",LEFT(SUBSTITUTE('Raw Data'!H89," ",""),1)="f","Femi Tech",LEFT(SUBSTITUTE('Raw Data'!H89," ",""),1)="k","Kelvin Tech",LEFT(SUBSTITUTE('Raw Data'!H89," ",""),1)="A","Adewale Stores",LEFT(SUBSTITUTE('Raw Data'!H89," ",""),2)="Al","Alpha Retailers",LEFT(SUBSTITUTE('Raw Data'!H89," ",""),1)="b","Bright Solutions",LEFT(SUBSTITUTE('Raw Data'!H89," ",""),1)="c","Chika Mart",LEFT(SUBSTITUTE('Raw Data'!H89," ",""),1)="e","Emeka Traders")</f>
        <v>Adewale Stores</v>
      </c>
    </row>
    <row r="90" spans="1:13" x14ac:dyDescent="0.25">
      <c r="A90" s="20" t="str">
        <f>UPPER(SUBSTITUTE(SUBSTITUTE(SUBSTITUTE(CLEAN('Raw Data'!A90),"-","")," ",""),".",""))</f>
        <v>13FEB2025</v>
      </c>
      <c r="B90" s="20" t="str">
        <f>LEFT(Table1[[#This Row],[Raw Date]],2)</f>
        <v>13</v>
      </c>
      <c r="C90" s="20" t="str">
        <f>SUBSTITUTE(SUBSTITUTE(SUBSTITUTE(MID(Table1[[#This Row],[Raw Date]],3,3),"AMR","MAR"),"JNA","JAN"),"PAR","APR")</f>
        <v>FEB</v>
      </c>
      <c r="D90" s="30">
        <f>IF(YEAR(RIGHT(Table1[[#This Row],[Raw Date]],4))&lt;&gt;2025,2025,0)</f>
        <v>2025</v>
      </c>
      <c r="E90" s="20" t="str">
        <f t="shared" si="2"/>
        <v>13-FEB-2025</v>
      </c>
      <c r="F90" s="10" t="str" cm="1">
        <f t="array" ref="F90">_xlfn.IFS(LEFT(SUBSTITUTE('Raw Data'!B90," ",""),1)="s", "South", LEFT(SUBSTITUTE('Raw Data'!B90," ",""),1)="n", "North",LEFT(SUBSTITUTE('Raw Data'!B90," ",""),1)="e","East",LEFT(SUBSTITUTE('Raw Data'!B90," ",""),1)="w","West")</f>
        <v>West</v>
      </c>
      <c r="G90" s="10" t="str">
        <f>PROPER(CLEAN(SUBSTITUTE(SUBSTITUTE(SUBSTITUTE('Raw Data'!C90," ",""),",",""),".","")))</f>
        <v>Laptopa15</v>
      </c>
      <c r="H90" s="12" t="str" cm="1">
        <f t="array" ref="H90">_xlfn.IFS(LEFT(SUBSTITUTE('Raw Data'!D90," ",""),2)="pe", "Peripherals",LEFT(SUBSTITUTE('Raw Data'!D90," ",""),2)="au", "Audio",LEFT(SUBSTITUTE('Raw Data'!D90," ",""),2)="co", "Computers", LEFT(SUBSTITUTE('Raw Data'!D90," ",""),1)="e", "Electronics",LEFT(SUBSTITUTE('Raw Data'!D90," ",""),2)="mo","Mobile",LEFT(SUBSTITUTE('Raw Data'!D90," ",""),2)="ph","Photography")</f>
        <v>Computers</v>
      </c>
      <c r="I90" s="11">
        <f>'Raw Data'!E90</f>
        <v>11</v>
      </c>
      <c r="J90" s="13">
        <f>'Raw Data'!F90</f>
        <v>2500000</v>
      </c>
      <c r="K90" s="17">
        <f>Table1[[#This Row],[Unit Price]]*Table1[[#This Row],[Units Sold]]</f>
        <v>27500000</v>
      </c>
      <c r="L90" s="10" t="str">
        <f>UPPER(TRIM(CLEAN(SUBSTITUTE(SUBSTITUTE(SUBSTITUTE('Raw Data'!G90,",",""),".","")," ",""))))</f>
        <v>FOLABALOGUN</v>
      </c>
      <c r="M90" s="16" t="str" cm="1">
        <f t="array" ref="M90">_xlfn.IFS(LEFT(SUBSTITUTE('Raw Data'!H90," ",""),1)="M", "Musa Enterprrises",LEFT(SUBSTITUTE('Raw Data'!H90," ",""),1)="o", "Omega Wholesale",LEFT(SUBSTITUTE('Raw Data'!H90," ",""),4)="Tola", "Tola Ventures", LEFT(SUBSTITUTE('Raw Data'!H90," ",""),1)="T", "Tope &amp; Sons",LEFT(SUBSTITUTE('Raw Data'!H90," ",""),1)="z","Zainab Global",LEFT(SUBSTITUTE('Raw Data'!H90," ",""),2)="Ma","Maryam Ltd",LEFT(SUBSTITUTE('Raw Data'!H90," ",""),1)="j","Jide Superstores",LEFT(SUBSTITUTE('Raw Data'!H90," ",""),1)="f","Femi Tech",LEFT(SUBSTITUTE('Raw Data'!H90," ",""),1)="k","Kelvin Tech",LEFT(SUBSTITUTE('Raw Data'!H90," ",""),1)="A","Adewale Stores",LEFT(SUBSTITUTE('Raw Data'!H90," ",""),2)="Al","Alpha Retailers",LEFT(SUBSTITUTE('Raw Data'!H90," ",""),1)="b","Bright Solutions",LEFT(SUBSTITUTE('Raw Data'!H90," ",""),1)="c","Chika Mart",LEFT(SUBSTITUTE('Raw Data'!H90," ",""),1)="e","Emeka Traders")</f>
        <v>Omega Wholesale</v>
      </c>
    </row>
    <row r="91" spans="1:13" x14ac:dyDescent="0.25">
      <c r="A91" s="20" t="str">
        <f>UPPER(SUBSTITUTE(SUBSTITUTE(SUBSTITUTE(CLEAN('Raw Data'!A91),"-","")," ",""),".",""))</f>
        <v>09AMR2025</v>
      </c>
      <c r="B91" s="20" t="str">
        <f>LEFT(Table1[[#This Row],[Raw Date]],2)</f>
        <v>09</v>
      </c>
      <c r="C91" s="20" t="str">
        <f>SUBSTITUTE(SUBSTITUTE(SUBSTITUTE(MID(Table1[[#This Row],[Raw Date]],3,3),"AMR","MAR"),"JNA","JAN"),"PAR","APR")</f>
        <v>MAR</v>
      </c>
      <c r="D91" s="30">
        <f>IF(YEAR(RIGHT(Table1[[#This Row],[Raw Date]],4))&lt;&gt;2025,2025,0)</f>
        <v>2025</v>
      </c>
      <c r="E91" s="20" t="str">
        <f t="shared" si="2"/>
        <v>09-MAR-2025</v>
      </c>
      <c r="F91" s="10" t="str" cm="1">
        <f t="array" ref="F91">_xlfn.IFS(LEFT(SUBSTITUTE('Raw Data'!B91," ",""),1)="s", "South", LEFT(SUBSTITUTE('Raw Data'!B91," ",""),1)="n", "North",LEFT(SUBSTITUTE('Raw Data'!B91," ",""),1)="e","East",LEFT(SUBSTITUTE('Raw Data'!B91," ",""),1)="w","West")</f>
        <v>East</v>
      </c>
      <c r="G91" s="10" t="str">
        <f>PROPER(CLEAN(SUBSTITUTE(SUBSTITUTE(SUBSTITUTE('Raw Data'!C91," ",""),",",""),".","")))</f>
        <v>Laptopa15</v>
      </c>
      <c r="H91" s="12" t="str" cm="1">
        <f t="array" ref="H91">_xlfn.IFS(LEFT(SUBSTITUTE('Raw Data'!D91," ",""),2)="pe", "Peripherals",LEFT(SUBSTITUTE('Raw Data'!D91," ",""),2)="au", "Audio",LEFT(SUBSTITUTE('Raw Data'!D91," ",""),2)="co", "Computers", LEFT(SUBSTITUTE('Raw Data'!D91," ",""),1)="e", "Electronics",LEFT(SUBSTITUTE('Raw Data'!D91," ",""),2)="mo","Mobile",LEFT(SUBSTITUTE('Raw Data'!D91," ",""),2)="ph","Photography")</f>
        <v>Computers</v>
      </c>
      <c r="I91" s="11">
        <f>'Raw Data'!E91</f>
        <v>20</v>
      </c>
      <c r="J91" s="13">
        <f>'Raw Data'!F91</f>
        <v>250000</v>
      </c>
      <c r="K91" s="17">
        <f>Table1[[#This Row],[Unit Price]]*Table1[[#This Row],[Units Sold]]</f>
        <v>5000000</v>
      </c>
      <c r="L91" s="10" t="str">
        <f>UPPER(TRIM(CLEAN(SUBSTITUTE(SUBSTITUTE(SUBSTITUTE('Raw Data'!G91,",",""),".","")," ",""))))</f>
        <v>IFEANYIOKAFOR</v>
      </c>
      <c r="M91" s="16" t="str" cm="1">
        <f t="array" ref="M91">_xlfn.IFS(LEFT(SUBSTITUTE('Raw Data'!H91," ",""),1)="M", "Musa Enterprrises",LEFT(SUBSTITUTE('Raw Data'!H91," ",""),1)="o", "Omega Wholesale",LEFT(SUBSTITUTE('Raw Data'!H91," ",""),4)="Tola", "Tola Ventures", LEFT(SUBSTITUTE('Raw Data'!H91," ",""),1)="T", "Tope &amp; Sons",LEFT(SUBSTITUTE('Raw Data'!H91," ",""),1)="z","Zainab Global",LEFT(SUBSTITUTE('Raw Data'!H91," ",""),2)="Ma","Maryam Ltd",LEFT(SUBSTITUTE('Raw Data'!H91," ",""),1)="j","Jide Superstores",LEFT(SUBSTITUTE('Raw Data'!H91," ",""),1)="f","Femi Tech",LEFT(SUBSTITUTE('Raw Data'!H91," ",""),1)="k","Kelvin Tech",LEFT(SUBSTITUTE('Raw Data'!H91," ",""),1)="A","Adewale Stores",LEFT(SUBSTITUTE('Raw Data'!H91," ",""),2)="Al","Alpha Retailers",LEFT(SUBSTITUTE('Raw Data'!H91," ",""),1)="b","Bright Solutions",LEFT(SUBSTITUTE('Raw Data'!H91," ",""),1)="c","Chika Mart",LEFT(SUBSTITUTE('Raw Data'!H91," ",""),1)="e","Emeka Traders")</f>
        <v>Femi Tech</v>
      </c>
    </row>
    <row r="92" spans="1:13" x14ac:dyDescent="0.25">
      <c r="A92" s="20" t="str">
        <f>UPPER(SUBSTITUTE(SUBSTITUTE(SUBSTITUTE(CLEAN('Raw Data'!A92),"-","")," ",""),".",""))</f>
        <v>20FEB2052</v>
      </c>
      <c r="B92" s="20" t="str">
        <f>LEFT(Table1[[#This Row],[Raw Date]],2)</f>
        <v>20</v>
      </c>
      <c r="C92" s="20" t="str">
        <f>SUBSTITUTE(SUBSTITUTE(SUBSTITUTE(MID(Table1[[#This Row],[Raw Date]],3,3),"AMR","MAR"),"JNA","JAN"),"PAR","APR")</f>
        <v>FEB</v>
      </c>
      <c r="D92" s="30">
        <f>IF(YEAR(RIGHT(Table1[[#This Row],[Raw Date]],4))&lt;&gt;2025,2025,0)</f>
        <v>2025</v>
      </c>
      <c r="E92" s="20" t="str">
        <f t="shared" si="2"/>
        <v>20-FEB-2025</v>
      </c>
      <c r="F92" s="10" t="str" cm="1">
        <f t="array" ref="F92">_xlfn.IFS(LEFT(SUBSTITUTE('Raw Data'!B92," ",""),1)="s", "South", LEFT(SUBSTITUTE('Raw Data'!B92," ",""),1)="n", "North",LEFT(SUBSTITUTE('Raw Data'!B92," ",""),1)="e","East",LEFT(SUBSTITUTE('Raw Data'!B92," ",""),1)="w","West")</f>
        <v>West</v>
      </c>
      <c r="G92" s="10" t="str">
        <f>PROPER(CLEAN(SUBSTITUTE(SUBSTITUTE(SUBSTITUTE('Raw Data'!C92," ",""),",",""),".","")))</f>
        <v>Speakers10</v>
      </c>
      <c r="H92" s="12" t="str" cm="1">
        <f t="array" ref="H92">_xlfn.IFS(LEFT(SUBSTITUTE('Raw Data'!D92," ",""),2)="pe", "Peripherals",LEFT(SUBSTITUTE('Raw Data'!D92," ",""),2)="au", "Audio",LEFT(SUBSTITUTE('Raw Data'!D92," ",""),2)="co", "Computers", LEFT(SUBSTITUTE('Raw Data'!D92," ",""),1)="e", "Electronics",LEFT(SUBSTITUTE('Raw Data'!D92," ",""),2)="mo","Mobile",LEFT(SUBSTITUTE('Raw Data'!D92," ",""),2)="ph","Photography")</f>
        <v>Audio</v>
      </c>
      <c r="I92" s="11">
        <f>'Raw Data'!E92</f>
        <v>7</v>
      </c>
      <c r="J92" s="13">
        <f>'Raw Data'!F92</f>
        <v>89233</v>
      </c>
      <c r="K92" s="17">
        <f>Table1[[#This Row],[Unit Price]]*Table1[[#This Row],[Units Sold]]</f>
        <v>624631</v>
      </c>
      <c r="L92" s="10" t="str">
        <f>UPPER(TRIM(CLEAN(SUBSTITUTE(SUBSTITUTE(SUBSTITUTE('Raw Data'!G92,",",""),".","")," ",""))))</f>
        <v>FOLABALOGUN</v>
      </c>
      <c r="M92" s="16" t="str" cm="1">
        <f t="array" ref="M92">_xlfn.IFS(LEFT(SUBSTITUTE('Raw Data'!H92," ",""),1)="M", "Musa Enterprrises",LEFT(SUBSTITUTE('Raw Data'!H92," ",""),1)="o", "Omega Wholesale",LEFT(SUBSTITUTE('Raw Data'!H92," ",""),4)="Tola", "Tola Ventures", LEFT(SUBSTITUTE('Raw Data'!H92," ",""),1)="T", "Tope &amp; Sons",LEFT(SUBSTITUTE('Raw Data'!H92," ",""),1)="z","Zainab Global",LEFT(SUBSTITUTE('Raw Data'!H92," ",""),2)="Ma","Maryam Ltd",LEFT(SUBSTITUTE('Raw Data'!H92," ",""),1)="j","Jide Superstores",LEFT(SUBSTITUTE('Raw Data'!H92," ",""),1)="f","Femi Tech",LEFT(SUBSTITUTE('Raw Data'!H92," ",""),1)="k","Kelvin Tech",LEFT(SUBSTITUTE('Raw Data'!H92," ",""),1)="A","Adewale Stores",LEFT(SUBSTITUTE('Raw Data'!H92," ",""),2)="Al","Alpha Retailers",LEFT(SUBSTITUTE('Raw Data'!H92," ",""),1)="b","Bright Solutions",LEFT(SUBSTITUTE('Raw Data'!H92," ",""),1)="c","Chika Mart",LEFT(SUBSTITUTE('Raw Data'!H92," ",""),1)="e","Emeka Traders")</f>
        <v>Femi Tech</v>
      </c>
    </row>
    <row r="93" spans="1:13" x14ac:dyDescent="0.25">
      <c r="A93" s="20" t="str">
        <f>UPPER(SUBSTITUTE(SUBSTITUTE(SUBSTITUTE(CLEAN('Raw Data'!A93),"-","")," ",""),".",""))</f>
        <v>19FEB2025</v>
      </c>
      <c r="B93" s="20" t="str">
        <f>LEFT(Table1[[#This Row],[Raw Date]],2)</f>
        <v>19</v>
      </c>
      <c r="C93" s="20" t="str">
        <f>SUBSTITUTE(SUBSTITUTE(SUBSTITUTE(MID(Table1[[#This Row],[Raw Date]],3,3),"AMR","MAR"),"JNA","JAN"),"PAR","APR")</f>
        <v>FEB</v>
      </c>
      <c r="D93" s="30">
        <f>IF(YEAR(RIGHT(Table1[[#This Row],[Raw Date]],4))&lt;&gt;2025,2025,0)</f>
        <v>2025</v>
      </c>
      <c r="E93" s="20" t="str">
        <f t="shared" si="2"/>
        <v>19-FEB-2025</v>
      </c>
      <c r="F93" s="10" t="str" cm="1">
        <f t="array" ref="F93">_xlfn.IFS(LEFT(SUBSTITUTE('Raw Data'!B93," ",""),1)="s", "South", LEFT(SUBSTITUTE('Raw Data'!B93," ",""),1)="n", "North",LEFT(SUBSTITUTE('Raw Data'!B93," ",""),1)="e","East",LEFT(SUBSTITUTE('Raw Data'!B93," ",""),1)="w","West")</f>
        <v>East</v>
      </c>
      <c r="G93" s="10" t="str">
        <f>PROPER(CLEAN(SUBSTITUTE(SUBSTITUTE(SUBSTITUTE('Raw Data'!C93," ",""),",",""),".","")))</f>
        <v>Laptopa15</v>
      </c>
      <c r="H93" s="12" t="str" cm="1">
        <f t="array" ref="H93">_xlfn.IFS(LEFT(SUBSTITUTE('Raw Data'!D93," ",""),2)="pe", "Peripherals",LEFT(SUBSTITUTE('Raw Data'!D93," ",""),2)="au", "Audio",LEFT(SUBSTITUTE('Raw Data'!D93," ",""),2)="co", "Computers", LEFT(SUBSTITUTE('Raw Data'!D93," ",""),1)="e", "Electronics",LEFT(SUBSTITUTE('Raw Data'!D93," ",""),2)="mo","Mobile",LEFT(SUBSTITUTE('Raw Data'!D93," ",""),2)="ph","Photography")</f>
        <v>Computers</v>
      </c>
      <c r="I93" s="11">
        <f>'Raw Data'!E93</f>
        <v>5</v>
      </c>
      <c r="J93" s="13">
        <f>'Raw Data'!F93</f>
        <v>250000</v>
      </c>
      <c r="K93" s="17">
        <f>Table1[[#This Row],[Unit Price]]*Table1[[#This Row],[Units Sold]]</f>
        <v>1250000</v>
      </c>
      <c r="L93" s="10" t="str">
        <f>UPPER(TRIM(CLEAN(SUBSTITUTE(SUBSTITUTE(SUBSTITUTE('Raw Data'!G93,",",""),".","")," ",""))))</f>
        <v>MARYJOHN</v>
      </c>
      <c r="M93" s="16" t="str" cm="1">
        <f t="array" ref="M93">_xlfn.IFS(LEFT(SUBSTITUTE('Raw Data'!H93," ",""),1)="M", "Musa Enterprrises",LEFT(SUBSTITUTE('Raw Data'!H93," ",""),1)="o", "Omega Wholesale",LEFT(SUBSTITUTE('Raw Data'!H93," ",""),4)="Tola", "Tola Ventures", LEFT(SUBSTITUTE('Raw Data'!H93," ",""),1)="T", "Tope &amp; Sons",LEFT(SUBSTITUTE('Raw Data'!H93," ",""),1)="z","Zainab Global",LEFT(SUBSTITUTE('Raw Data'!H93," ",""),2)="Ma","Maryam Ltd",LEFT(SUBSTITUTE('Raw Data'!H93," ",""),1)="j","Jide Superstores",LEFT(SUBSTITUTE('Raw Data'!H93," ",""),1)="f","Femi Tech",LEFT(SUBSTITUTE('Raw Data'!H93," ",""),1)="k","Kelvin Tech",LEFT(SUBSTITUTE('Raw Data'!H93," ",""),1)="A","Adewale Stores",LEFT(SUBSTITUTE('Raw Data'!H93," ",""),2)="Al","Alpha Retailers",LEFT(SUBSTITUTE('Raw Data'!H93," ",""),1)="b","Bright Solutions",LEFT(SUBSTITUTE('Raw Data'!H93," ",""),1)="c","Chika Mart",LEFT(SUBSTITUTE('Raw Data'!H93," ",""),1)="e","Emeka Traders")</f>
        <v>Tope &amp; Sons</v>
      </c>
    </row>
    <row r="94" spans="1:13" x14ac:dyDescent="0.25">
      <c r="A94" s="20" t="str">
        <f>UPPER(SUBSTITUTE(SUBSTITUTE(SUBSTITUTE(CLEAN('Raw Data'!A94),"-","")," ",""),".",""))</f>
        <v>10APR2025</v>
      </c>
      <c r="B94" s="20" t="str">
        <f>LEFT(Table1[[#This Row],[Raw Date]],2)</f>
        <v>10</v>
      </c>
      <c r="C94" s="20" t="str">
        <f>SUBSTITUTE(SUBSTITUTE(SUBSTITUTE(MID(Table1[[#This Row],[Raw Date]],3,3),"AMR","MAR"),"JNA","JAN"),"PAR","APR")</f>
        <v>APR</v>
      </c>
      <c r="D94" s="30">
        <f>IF(YEAR(RIGHT(Table1[[#This Row],[Raw Date]],4))&lt;&gt;2025,2025,0)</f>
        <v>2025</v>
      </c>
      <c r="E94" s="20" t="str">
        <f t="shared" si="2"/>
        <v>10-APR-2025</v>
      </c>
      <c r="F94" s="10" t="str" cm="1">
        <f t="array" ref="F94">_xlfn.IFS(LEFT(SUBSTITUTE('Raw Data'!B94," ",""),1)="s", "South", LEFT(SUBSTITUTE('Raw Data'!B94," ",""),1)="n", "North",LEFT(SUBSTITUTE('Raw Data'!B94," ",""),1)="e","East",LEFT(SUBSTITUTE('Raw Data'!B94," ",""),1)="w","West")</f>
        <v>East</v>
      </c>
      <c r="G94" s="10" t="str">
        <f>PROPER(CLEAN(SUBSTITUTE(SUBSTITUTE(SUBSTITUTE('Raw Data'!C94," ",""),",",""),".","")))</f>
        <v>Camerac100</v>
      </c>
      <c r="H94" s="12" t="str" cm="1">
        <f t="array" ref="H94">_xlfn.IFS(LEFT(SUBSTITUTE('Raw Data'!D94," ",""),2)="pe", "Peripherals",LEFT(SUBSTITUTE('Raw Data'!D94," ",""),2)="au", "Audio",LEFT(SUBSTITUTE('Raw Data'!D94," ",""),2)="co", "Computers", LEFT(SUBSTITUTE('Raw Data'!D94," ",""),1)="e", "Electronics",LEFT(SUBSTITUTE('Raw Data'!D94," ",""),2)="mo","Mobile",LEFT(SUBSTITUTE('Raw Data'!D94," ",""),2)="ph","Photography")</f>
        <v>Photography</v>
      </c>
      <c r="I94" s="11">
        <f>'Raw Data'!E94</f>
        <v>19</v>
      </c>
      <c r="J94" s="13">
        <f>'Raw Data'!F94</f>
        <v>175000</v>
      </c>
      <c r="K94" s="17">
        <f>Table1[[#This Row],[Unit Price]]*Table1[[#This Row],[Units Sold]]</f>
        <v>3325000</v>
      </c>
      <c r="L94" s="10" t="str">
        <f>UPPER(TRIM(CLEAN(SUBSTITUTE(SUBSTITUTE(SUBSTITUTE('Raw Data'!G94,",",""),".","")," ",""))))</f>
        <v>MARYJOHN</v>
      </c>
      <c r="M94" s="16" t="str" cm="1">
        <f t="array" ref="M94">_xlfn.IFS(LEFT(SUBSTITUTE('Raw Data'!H94," ",""),1)="M", "Musa Enterprrises",LEFT(SUBSTITUTE('Raw Data'!H94," ",""),1)="o", "Omega Wholesale",LEFT(SUBSTITUTE('Raw Data'!H94," ",""),4)="Tola", "Tola Ventures", LEFT(SUBSTITUTE('Raw Data'!H94," ",""),1)="T", "Tope &amp; Sons",LEFT(SUBSTITUTE('Raw Data'!H94," ",""),1)="z","Zainab Global",LEFT(SUBSTITUTE('Raw Data'!H94," ",""),2)="Ma","Maryam Ltd",LEFT(SUBSTITUTE('Raw Data'!H94," ",""),1)="j","Jide Superstores",LEFT(SUBSTITUTE('Raw Data'!H94," ",""),1)="f","Femi Tech",LEFT(SUBSTITUTE('Raw Data'!H94," ",""),1)="k","Kelvin Tech",LEFT(SUBSTITUTE('Raw Data'!H94," ",""),1)="A","Adewale Stores",LEFT(SUBSTITUTE('Raw Data'!H94," ",""),2)="Al","Alpha Retailers",LEFT(SUBSTITUTE('Raw Data'!H94," ",""),1)="b","Bright Solutions",LEFT(SUBSTITUTE('Raw Data'!H94," ",""),1)="c","Chika Mart",LEFT(SUBSTITUTE('Raw Data'!H94," ",""),1)="e","Emeka Traders")</f>
        <v>Kelvin Tech</v>
      </c>
    </row>
    <row r="95" spans="1:13" x14ac:dyDescent="0.25">
      <c r="A95" s="20" t="str">
        <f>UPPER(SUBSTITUTE(SUBSTITUTE(SUBSTITUTE(CLEAN('Raw Data'!A95),"-","")," ",""),".",""))</f>
        <v>21MAY2025</v>
      </c>
      <c r="B95" s="20" t="str">
        <f>LEFT(Table1[[#This Row],[Raw Date]],2)</f>
        <v>21</v>
      </c>
      <c r="C95" s="20" t="str">
        <f>SUBSTITUTE(SUBSTITUTE(SUBSTITUTE(MID(Table1[[#This Row],[Raw Date]],3,3),"AMR","MAR"),"JNA","JAN"),"PAR","APR")</f>
        <v>MAY</v>
      </c>
      <c r="D95" s="30">
        <f>IF(YEAR(RIGHT(Table1[[#This Row],[Raw Date]],4))&lt;&gt;2025,2025,0)</f>
        <v>2025</v>
      </c>
      <c r="E95" s="20" t="str">
        <f t="shared" si="2"/>
        <v>21-MAY-2025</v>
      </c>
      <c r="F95" s="10" t="str" cm="1">
        <f t="array" ref="F95">_xlfn.IFS(LEFT(SUBSTITUTE('Raw Data'!B95," ",""),1)="s", "South", LEFT(SUBSTITUTE('Raw Data'!B95," ",""),1)="n", "North",LEFT(SUBSTITUTE('Raw Data'!B95," ",""),1)="e","East",LEFT(SUBSTITUTE('Raw Data'!B95," ",""),1)="w","West")</f>
        <v>East</v>
      </c>
      <c r="G95" s="10" t="str">
        <f>PROPER(CLEAN(SUBSTITUTE(SUBSTITUTE(SUBSTITUTE('Raw Data'!C95," ",""),",",""),".","")))</f>
        <v>Tv43Q</v>
      </c>
      <c r="H95" s="12" t="str" cm="1">
        <f t="array" ref="H95">_xlfn.IFS(LEFT(SUBSTITUTE('Raw Data'!D95," ",""),2)="pe", "Peripherals",LEFT(SUBSTITUTE('Raw Data'!D95," ",""),2)="au", "Audio",LEFT(SUBSTITUTE('Raw Data'!D95," ",""),2)="co", "Computers", LEFT(SUBSTITUTE('Raw Data'!D95," ",""),1)="e", "Electronics",LEFT(SUBSTITUTE('Raw Data'!D95," ",""),2)="mo","Mobile",LEFT(SUBSTITUTE('Raw Data'!D95," ",""),2)="ph","Photography")</f>
        <v>Electronics</v>
      </c>
      <c r="I95" s="11">
        <f>'Raw Data'!E95</f>
        <v>14</v>
      </c>
      <c r="J95" s="13">
        <f>'Raw Data'!F95</f>
        <v>350000</v>
      </c>
      <c r="K95" s="17">
        <f>Table1[[#This Row],[Unit Price]]*Table1[[#This Row],[Units Sold]]</f>
        <v>4900000</v>
      </c>
      <c r="L95" s="10" t="str">
        <f>UPPER(TRIM(CLEAN(SUBSTITUTE(SUBSTITUTE(SUBSTITUTE('Raw Data'!G95,",",""),".","")," ",""))))</f>
        <v>GRACEAMOS</v>
      </c>
      <c r="M95" s="16" t="str" cm="1">
        <f t="array" ref="M95">_xlfn.IFS(LEFT(SUBSTITUTE('Raw Data'!H95," ",""),1)="M", "Musa Enterprrises",LEFT(SUBSTITUTE('Raw Data'!H95," ",""),1)="o", "Omega Wholesale",LEFT(SUBSTITUTE('Raw Data'!H95," ",""),4)="Tola", "Tola Ventures", LEFT(SUBSTITUTE('Raw Data'!H95," ",""),1)="T", "Tope &amp; Sons",LEFT(SUBSTITUTE('Raw Data'!H95," ",""),1)="z","Zainab Global",LEFT(SUBSTITUTE('Raw Data'!H95," ",""),2)="Ma","Maryam Ltd",LEFT(SUBSTITUTE('Raw Data'!H95," ",""),1)="j","Jide Superstores",LEFT(SUBSTITUTE('Raw Data'!H95," ",""),1)="f","Femi Tech",LEFT(SUBSTITUTE('Raw Data'!H95," ",""),1)="k","Kelvin Tech",LEFT(SUBSTITUTE('Raw Data'!H95," ",""),1)="A","Adewale Stores",LEFT(SUBSTITUTE('Raw Data'!H95," ",""),2)="Al","Alpha Retailers",LEFT(SUBSTITUTE('Raw Data'!H95," ",""),1)="b","Bright Solutions",LEFT(SUBSTITUTE('Raw Data'!H95," ",""),1)="c","Chika Mart",LEFT(SUBSTITUTE('Raw Data'!H95," ",""),1)="e","Emeka Traders")</f>
        <v>Musa Enterprrises</v>
      </c>
    </row>
    <row r="96" spans="1:13" x14ac:dyDescent="0.25">
      <c r="A96" s="20" t="str">
        <f>UPPER(SUBSTITUTE(SUBSTITUTE(SUBSTITUTE(CLEAN('Raw Data'!A96),"-","")," ",""),".",""))</f>
        <v>26JUN2025</v>
      </c>
      <c r="B96" s="20" t="str">
        <f>LEFT(Table1[[#This Row],[Raw Date]],2)</f>
        <v>26</v>
      </c>
      <c r="C96" s="20" t="str">
        <f>SUBSTITUTE(SUBSTITUTE(SUBSTITUTE(MID(Table1[[#This Row],[Raw Date]],3,3),"AMR","MAR"),"JNA","JAN"),"PAR","APR")</f>
        <v>JUN</v>
      </c>
      <c r="D96" s="30">
        <f>IF(YEAR(RIGHT(Table1[[#This Row],[Raw Date]],4))&lt;&gt;2025,2025,0)</f>
        <v>2025</v>
      </c>
      <c r="E96" s="20" t="str">
        <f t="shared" si="2"/>
        <v>26-JUN-2025</v>
      </c>
      <c r="F96" s="10" t="str" cm="1">
        <f t="array" ref="F96">_xlfn.IFS(LEFT(SUBSTITUTE('Raw Data'!B96," ",""),1)="s", "South", LEFT(SUBSTITUTE('Raw Data'!B96," ",""),1)="n", "North",LEFT(SUBSTITUTE('Raw Data'!B96," ",""),1)="e","East",LEFT(SUBSTITUTE('Raw Data'!B96," ",""),1)="w","West")</f>
        <v>East</v>
      </c>
      <c r="G96" s="10" t="str">
        <f>PROPER(CLEAN(SUBSTITUTE(SUBSTITUTE(SUBSTITUTE('Raw Data'!C96," ",""),",",""),".","")))</f>
        <v>Camerac100</v>
      </c>
      <c r="H96" s="12" t="str" cm="1">
        <f t="array" ref="H96">_xlfn.IFS(LEFT(SUBSTITUTE('Raw Data'!D96," ",""),2)="pe", "Peripherals",LEFT(SUBSTITUTE('Raw Data'!D96," ",""),2)="au", "Audio",LEFT(SUBSTITUTE('Raw Data'!D96," ",""),2)="co", "Computers", LEFT(SUBSTITUTE('Raw Data'!D96," ",""),1)="e", "Electronics",LEFT(SUBSTITUTE('Raw Data'!D96," ",""),2)="mo","Mobile",LEFT(SUBSTITUTE('Raw Data'!D96," ",""),2)="ph","Photography")</f>
        <v>Photography</v>
      </c>
      <c r="I96" s="11">
        <f>'Raw Data'!E96</f>
        <v>20</v>
      </c>
      <c r="J96" s="13">
        <f>'Raw Data'!F96</f>
        <v>175000</v>
      </c>
      <c r="K96" s="17">
        <f>Table1[[#This Row],[Unit Price]]*Table1[[#This Row],[Units Sold]]</f>
        <v>3500000</v>
      </c>
      <c r="L96" s="10" t="str">
        <f>UPPER(TRIM(CLEAN(SUBSTITUTE(SUBSTITUTE(SUBSTITUTE('Raw Data'!G96,",",""),".","")," ",""))))</f>
        <v>MARYJOHN</v>
      </c>
      <c r="M96" s="16" t="str" cm="1">
        <f t="array" ref="M96">_xlfn.IFS(LEFT(SUBSTITUTE('Raw Data'!H96," ",""),1)="M", "Musa Enterprrises",LEFT(SUBSTITUTE('Raw Data'!H96," ",""),1)="o", "Omega Wholesale",LEFT(SUBSTITUTE('Raw Data'!H96," ",""),4)="Tola", "Tola Ventures", LEFT(SUBSTITUTE('Raw Data'!H96," ",""),1)="T", "Tope &amp; Sons",LEFT(SUBSTITUTE('Raw Data'!H96," ",""),1)="z","Zainab Global",LEFT(SUBSTITUTE('Raw Data'!H96," ",""),2)="Ma","Maryam Ltd",LEFT(SUBSTITUTE('Raw Data'!H96," ",""),1)="j","Jide Superstores",LEFT(SUBSTITUTE('Raw Data'!H96," ",""),1)="f","Femi Tech",LEFT(SUBSTITUTE('Raw Data'!H96," ",""),1)="k","Kelvin Tech",LEFT(SUBSTITUTE('Raw Data'!H96," ",""),1)="A","Adewale Stores",LEFT(SUBSTITUTE('Raw Data'!H96," ",""),2)="Al","Alpha Retailers",LEFT(SUBSTITUTE('Raw Data'!H96," ",""),1)="b","Bright Solutions",LEFT(SUBSTITUTE('Raw Data'!H96," ",""),1)="c","Chika Mart",LEFT(SUBSTITUTE('Raw Data'!H96," ",""),1)="e","Emeka Traders")</f>
        <v>Bright Solutions</v>
      </c>
    </row>
    <row r="97" spans="1:13" x14ac:dyDescent="0.25">
      <c r="A97" s="20" t="str">
        <f>UPPER(SUBSTITUTE(SUBSTITUTE(SUBSTITUTE(CLEAN('Raw Data'!A97),"-","")," ",""),".",""))</f>
        <v>20FEB2025</v>
      </c>
      <c r="B97" s="20" t="str">
        <f>LEFT(Table1[[#This Row],[Raw Date]],2)</f>
        <v>20</v>
      </c>
      <c r="C97" s="20" t="str">
        <f>SUBSTITUTE(SUBSTITUTE(SUBSTITUTE(MID(Table1[[#This Row],[Raw Date]],3,3),"AMR","MAR"),"JNA","JAN"),"PAR","APR")</f>
        <v>FEB</v>
      </c>
      <c r="D97" s="30">
        <f>IF(YEAR(RIGHT(Table1[[#This Row],[Raw Date]],4))&lt;&gt;2025,2025,0)</f>
        <v>2025</v>
      </c>
      <c r="E97" s="20" t="str">
        <f t="shared" si="2"/>
        <v>20-FEB-2025</v>
      </c>
      <c r="F97" s="10" t="str" cm="1">
        <f t="array" ref="F97">_xlfn.IFS(LEFT(SUBSTITUTE('Raw Data'!B97," ",""),1)="s", "South", LEFT(SUBSTITUTE('Raw Data'!B97," ",""),1)="n", "North",LEFT(SUBSTITUTE('Raw Data'!B97," ",""),1)="e","East",LEFT(SUBSTITUTE('Raw Data'!B97," ",""),1)="w","West")</f>
        <v>South</v>
      </c>
      <c r="G97" s="10" t="str">
        <f>PROPER(CLEAN(SUBSTITUTE(SUBSTITUTE(SUBSTITUTE('Raw Data'!C97," ",""),",",""),".","")))</f>
        <v>Speakers10</v>
      </c>
      <c r="H97" s="12" t="str" cm="1">
        <f t="array" ref="H97">_xlfn.IFS(LEFT(SUBSTITUTE('Raw Data'!D97," ",""),2)="pe", "Peripherals",LEFT(SUBSTITUTE('Raw Data'!D97," ",""),2)="au", "Audio",LEFT(SUBSTITUTE('Raw Data'!D97," ",""),2)="co", "Computers", LEFT(SUBSTITUTE('Raw Data'!D97," ",""),1)="e", "Electronics",LEFT(SUBSTITUTE('Raw Data'!D97," ",""),2)="mo","Mobile",LEFT(SUBSTITUTE('Raw Data'!D97," ",""),2)="ph","Photography")</f>
        <v>Audio</v>
      </c>
      <c r="I97" s="11">
        <f>'Raw Data'!E97</f>
        <v>18</v>
      </c>
      <c r="J97" s="13">
        <f>'Raw Data'!F97</f>
        <v>85000</v>
      </c>
      <c r="K97" s="17">
        <f>Table1[[#This Row],[Unit Price]]*Table1[[#This Row],[Units Sold]]</f>
        <v>1530000</v>
      </c>
      <c r="L97" s="10" t="str">
        <f>UPPER(TRIM(CLEAN(SUBSTITUTE(SUBSTITUTE(SUBSTITUTE('Raw Data'!G97,",",""),".","")," ",""))))</f>
        <v>PETEROBI</v>
      </c>
      <c r="M97" s="16" t="str" cm="1">
        <f t="array" ref="M97">_xlfn.IFS(LEFT(SUBSTITUTE('Raw Data'!H97," ",""),1)="M", "Musa Enterprrises",LEFT(SUBSTITUTE('Raw Data'!H97," ",""),1)="o", "Omega Wholesale",LEFT(SUBSTITUTE('Raw Data'!H97," ",""),4)="Tola", "Tola Ventures", LEFT(SUBSTITUTE('Raw Data'!H97," ",""),1)="T", "Tope &amp; Sons",LEFT(SUBSTITUTE('Raw Data'!H97," ",""),1)="z","Zainab Global",LEFT(SUBSTITUTE('Raw Data'!H97," ",""),2)="Ma","Maryam Ltd",LEFT(SUBSTITUTE('Raw Data'!H97," ",""),1)="j","Jide Superstores",LEFT(SUBSTITUTE('Raw Data'!H97," ",""),1)="f","Femi Tech",LEFT(SUBSTITUTE('Raw Data'!H97," ",""),1)="k","Kelvin Tech",LEFT(SUBSTITUTE('Raw Data'!H97," ",""),1)="A","Adewale Stores",LEFT(SUBSTITUTE('Raw Data'!H97," ",""),2)="Al","Alpha Retailers",LEFT(SUBSTITUTE('Raw Data'!H97," ",""),1)="b","Bright Solutions",LEFT(SUBSTITUTE('Raw Data'!H97," ",""),1)="c","Chika Mart",LEFT(SUBSTITUTE('Raw Data'!H97," ",""),1)="e","Emeka Traders")</f>
        <v>Tola Ventures</v>
      </c>
    </row>
    <row r="98" spans="1:13" x14ac:dyDescent="0.25">
      <c r="A98" s="20" t="str">
        <f>UPPER(SUBSTITUTE(SUBSTITUTE(SUBSTITUTE(CLEAN('Raw Data'!A98),"-","")," ",""),".",""))</f>
        <v>27JUN2025</v>
      </c>
      <c r="B98" s="20" t="str">
        <f>LEFT(Table1[[#This Row],[Raw Date]],2)</f>
        <v>27</v>
      </c>
      <c r="C98" s="20" t="str">
        <f>SUBSTITUTE(SUBSTITUTE(SUBSTITUTE(MID(Table1[[#This Row],[Raw Date]],3,3),"AMR","MAR"),"JNA","JAN"),"PAR","APR")</f>
        <v>JUN</v>
      </c>
      <c r="D98" s="30">
        <f>IF(YEAR(RIGHT(Table1[[#This Row],[Raw Date]],4))&lt;&gt;2025,2025,0)</f>
        <v>2025</v>
      </c>
      <c r="E98" s="20" t="str">
        <f t="shared" ref="E98:E101" si="3">_xlfn.CONCAT(B98&amp;"-"&amp;C98&amp;"-"&amp;D98)</f>
        <v>27-JUN-2025</v>
      </c>
      <c r="F98" s="10" t="str" cm="1">
        <f t="array" ref="F98">_xlfn.IFS(LEFT(SUBSTITUTE('Raw Data'!B98," ",""),1)="s", "South", LEFT(SUBSTITUTE('Raw Data'!B98," ",""),1)="n", "North",LEFT(SUBSTITUTE('Raw Data'!B98," ",""),1)="e","East",LEFT(SUBSTITUTE('Raw Data'!B98," ",""),1)="w","West")</f>
        <v>North</v>
      </c>
      <c r="G98" s="10" t="str">
        <f>PROPER(CLEAN(SUBSTITUTE(SUBSTITUTE(SUBSTITUTE('Raw Data'!C98," ",""),",",""),".","")))</f>
        <v>Camerac100</v>
      </c>
      <c r="H98" s="12" t="str" cm="1">
        <f t="array" ref="H98">_xlfn.IFS(LEFT(SUBSTITUTE('Raw Data'!D98," ",""),2)="pe", "Peripherals",LEFT(SUBSTITUTE('Raw Data'!D98," ",""),2)="au", "Audio",LEFT(SUBSTITUTE('Raw Data'!D98," ",""),2)="co", "Computers", LEFT(SUBSTITUTE('Raw Data'!D98," ",""),1)="e", "Electronics",LEFT(SUBSTITUTE('Raw Data'!D98," ",""),2)="mo","Mobile",LEFT(SUBSTITUTE('Raw Data'!D98," ",""),2)="ph","Photography")</f>
        <v>Photography</v>
      </c>
      <c r="I98" s="11">
        <f>'Raw Data'!E98</f>
        <v>17</v>
      </c>
      <c r="J98" s="13">
        <f>'Raw Data'!F98</f>
        <v>175000</v>
      </c>
      <c r="K98" s="17">
        <f>Table1[[#This Row],[Unit Price]]*Table1[[#This Row],[Units Sold]]</f>
        <v>2975000</v>
      </c>
      <c r="L98" s="10" t="str">
        <f>UPPER(TRIM(CLEAN(SUBSTITUTE(SUBSTITUTE(SUBSTITUTE('Raw Data'!G98,",",""),".","")," ",""))))</f>
        <v>IFEANYIOKAFOR</v>
      </c>
      <c r="M98" s="16" t="str" cm="1">
        <f t="array" ref="M98">_xlfn.IFS(LEFT(SUBSTITUTE('Raw Data'!H98," ",""),1)="M", "Musa Enterprrises",LEFT(SUBSTITUTE('Raw Data'!H98," ",""),1)="o", "Omega Wholesale",LEFT(SUBSTITUTE('Raw Data'!H98," ",""),4)="Tola", "Tola Ventures", LEFT(SUBSTITUTE('Raw Data'!H98," ",""),1)="T", "Tope &amp; Sons",LEFT(SUBSTITUTE('Raw Data'!H98," ",""),1)="z","Zainab Global",LEFT(SUBSTITUTE('Raw Data'!H98," ",""),2)="Ma","Maryam Ltd",LEFT(SUBSTITUTE('Raw Data'!H98," ",""),1)="j","Jide Superstores",LEFT(SUBSTITUTE('Raw Data'!H98," ",""),1)="f","Femi Tech",LEFT(SUBSTITUTE('Raw Data'!H98," ",""),1)="k","Kelvin Tech",LEFT(SUBSTITUTE('Raw Data'!H98," ",""),1)="A","Adewale Stores",LEFT(SUBSTITUTE('Raw Data'!H98," ",""),2)="Al","Alpha Retailers",LEFT(SUBSTITUTE('Raw Data'!H98," ",""),1)="b","Bright Solutions",LEFT(SUBSTITUTE('Raw Data'!H98," ",""),1)="c","Chika Mart",LEFT(SUBSTITUTE('Raw Data'!H98," ",""),1)="e","Emeka Traders")</f>
        <v>Emeka Traders</v>
      </c>
    </row>
    <row r="99" spans="1:13" x14ac:dyDescent="0.25">
      <c r="A99" s="20" t="str">
        <f>UPPER(SUBSTITUTE(SUBSTITUTE(SUBSTITUTE(CLEAN('Raw Data'!A99),"-","")," ",""),".",""))</f>
        <v>05FEB2025</v>
      </c>
      <c r="B99" s="20" t="str">
        <f>LEFT(Table1[[#This Row],[Raw Date]],2)</f>
        <v>05</v>
      </c>
      <c r="C99" s="20" t="str">
        <f>SUBSTITUTE(SUBSTITUTE(SUBSTITUTE(MID(Table1[[#This Row],[Raw Date]],3,3),"AMR","MAR"),"JNA","JAN"),"PAR","APR")</f>
        <v>FEB</v>
      </c>
      <c r="D99" s="30">
        <f>IF(YEAR(RIGHT(Table1[[#This Row],[Raw Date]],4))&lt;&gt;2025,2025,0)</f>
        <v>2025</v>
      </c>
      <c r="E99" s="20" t="str">
        <f t="shared" si="3"/>
        <v>05-FEB-2025</v>
      </c>
      <c r="F99" s="10" t="str" cm="1">
        <f t="array" ref="F99">_xlfn.IFS(LEFT(SUBSTITUTE('Raw Data'!B99," ",""),1)="s", "South", LEFT(SUBSTITUTE('Raw Data'!B99," ",""),1)="n", "North",LEFT(SUBSTITUTE('Raw Data'!B99," ",""),1)="e","East",LEFT(SUBSTITUTE('Raw Data'!B99," ",""),1)="w","West")</f>
        <v>South</v>
      </c>
      <c r="G99" s="10" t="str">
        <f>PROPER(CLEAN(SUBSTITUTE(SUBSTITUTE(SUBSTITUTE('Raw Data'!C99," ",""),",",""),".","")))</f>
        <v>Laptopa15</v>
      </c>
      <c r="H99" s="12" t="str" cm="1">
        <f t="array" ref="H99">_xlfn.IFS(LEFT(SUBSTITUTE('Raw Data'!D99," ",""),2)="pe", "Peripherals",LEFT(SUBSTITUTE('Raw Data'!D99," ",""),2)="au", "Audio",LEFT(SUBSTITUTE('Raw Data'!D99," ",""),2)="co", "Computers", LEFT(SUBSTITUTE('Raw Data'!D99," ",""),1)="e", "Electronics",LEFT(SUBSTITUTE('Raw Data'!D99," ",""),2)="mo","Mobile",LEFT(SUBSTITUTE('Raw Data'!D99," ",""),2)="ph","Photography")</f>
        <v>Computers</v>
      </c>
      <c r="I99" s="11">
        <f>'Raw Data'!E99</f>
        <v>20</v>
      </c>
      <c r="J99" s="13">
        <f>'Raw Data'!F99</f>
        <v>250000</v>
      </c>
      <c r="K99" s="17">
        <f>Table1[[#This Row],[Unit Price]]*Table1[[#This Row],[Units Sold]]</f>
        <v>5000000</v>
      </c>
      <c r="L99" s="10" t="str">
        <f>UPPER(TRIM(CLEAN(SUBSTITUTE(SUBSTITUTE(SUBSTITUTE('Raw Data'!G99,",",""),".","")," ",""))))</f>
        <v>FOLABALOGUN</v>
      </c>
      <c r="M99" s="16" t="str" cm="1">
        <f t="array" ref="M99">_xlfn.IFS(LEFT(SUBSTITUTE('Raw Data'!H99," ",""),1)="M", "Musa Enterprrises",LEFT(SUBSTITUTE('Raw Data'!H99," ",""),1)="o", "Omega Wholesale",LEFT(SUBSTITUTE('Raw Data'!H99," ",""),4)="Tola", "Tola Ventures", LEFT(SUBSTITUTE('Raw Data'!H99," ",""),1)="T", "Tope &amp; Sons",LEFT(SUBSTITUTE('Raw Data'!H99," ",""),1)="z","Zainab Global",LEFT(SUBSTITUTE('Raw Data'!H99," ",""),2)="Ma","Maryam Ltd",LEFT(SUBSTITUTE('Raw Data'!H99," ",""),1)="j","Jide Superstores",LEFT(SUBSTITUTE('Raw Data'!H99," ",""),1)="f","Femi Tech",LEFT(SUBSTITUTE('Raw Data'!H99," ",""),1)="k","Kelvin Tech",LEFT(SUBSTITUTE('Raw Data'!H99," ",""),1)="A","Adewale Stores",LEFT(SUBSTITUTE('Raw Data'!H99," ",""),2)="Al","Alpha Retailers",LEFT(SUBSTITUTE('Raw Data'!H99," ",""),1)="b","Bright Solutions",LEFT(SUBSTITUTE('Raw Data'!H99," ",""),1)="c","Chika Mart",LEFT(SUBSTITUTE('Raw Data'!H99," ",""),1)="e","Emeka Traders")</f>
        <v>Musa Enterprrises</v>
      </c>
    </row>
    <row r="100" spans="1:13" x14ac:dyDescent="0.25">
      <c r="A100" s="20" t="str">
        <f>UPPER(SUBSTITUTE(SUBSTITUTE(SUBSTITUTE(CLEAN('Raw Data'!A100),"-","")," ",""),".",""))</f>
        <v>07JUN2025</v>
      </c>
      <c r="B100" s="20" t="str">
        <f>LEFT(Table1[[#This Row],[Raw Date]],2)</f>
        <v>07</v>
      </c>
      <c r="C100" s="20" t="str">
        <f>SUBSTITUTE(SUBSTITUTE(SUBSTITUTE(MID(Table1[[#This Row],[Raw Date]],3,3),"AMR","MAR"),"JNA","JAN"),"PAR","APR")</f>
        <v>JUN</v>
      </c>
      <c r="D100" s="30">
        <f>IF(YEAR(RIGHT(Table1[[#This Row],[Raw Date]],4))&lt;&gt;2025,2025,0)</f>
        <v>2025</v>
      </c>
      <c r="E100" s="20" t="str">
        <f t="shared" si="3"/>
        <v>07-JUN-2025</v>
      </c>
      <c r="F100" s="10" t="str" cm="1">
        <f t="array" ref="F100">_xlfn.IFS(LEFT(SUBSTITUTE('Raw Data'!B100," ",""),1)="s", "South", LEFT(SUBSTITUTE('Raw Data'!B100," ",""),1)="n", "North",LEFT(SUBSTITUTE('Raw Data'!B100," ",""),1)="e","East",LEFT(SUBSTITUTE('Raw Data'!B100," ",""),1)="w","West")</f>
        <v>South</v>
      </c>
      <c r="G100" s="10" t="str">
        <f>PROPER(CLEAN(SUBSTITUTE(SUBSTITUTE(SUBSTITUTE('Raw Data'!C100," ",""),",",""),".","")))</f>
        <v>Tv43Q</v>
      </c>
      <c r="H100" s="12" t="str" cm="1">
        <f t="array" ref="H100">_xlfn.IFS(LEFT(SUBSTITUTE('Raw Data'!D100," ",""),2)="pe", "Peripherals",LEFT(SUBSTITUTE('Raw Data'!D100," ",""),2)="au", "Audio",LEFT(SUBSTITUTE('Raw Data'!D100," ",""),2)="co", "Computers", LEFT(SUBSTITUTE('Raw Data'!D100," ",""),1)="e", "Electronics",LEFT(SUBSTITUTE('Raw Data'!D100," ",""),2)="mo","Mobile",LEFT(SUBSTITUTE('Raw Data'!D100," ",""),2)="ph","Photography")</f>
        <v>Electronics</v>
      </c>
      <c r="I100" s="11">
        <f>'Raw Data'!E100</f>
        <v>20</v>
      </c>
      <c r="J100" s="13">
        <f>'Raw Data'!F100</f>
        <v>350000</v>
      </c>
      <c r="K100" s="17">
        <f>Table1[[#This Row],[Unit Price]]*Table1[[#This Row],[Units Sold]]</f>
        <v>7000000</v>
      </c>
      <c r="L100" s="10" t="str">
        <f>UPPER(TRIM(CLEAN(SUBSTITUTE(SUBSTITUTE(SUBSTITUTE('Raw Data'!G100,",",""),".","")," ",""))))</f>
        <v>PETEROBI</v>
      </c>
      <c r="M100" s="16" t="str" cm="1">
        <f t="array" ref="M100">_xlfn.IFS(LEFT(SUBSTITUTE('Raw Data'!H100," ",""),1)="M", "Musa Enterprrises",LEFT(SUBSTITUTE('Raw Data'!H100," ",""),1)="o", "Omega Wholesale",LEFT(SUBSTITUTE('Raw Data'!H100," ",""),4)="Tola", "Tola Ventures", LEFT(SUBSTITUTE('Raw Data'!H100," ",""),1)="T", "Tope &amp; Sons",LEFT(SUBSTITUTE('Raw Data'!H100," ",""),1)="z","Zainab Global",LEFT(SUBSTITUTE('Raw Data'!H100," ",""),2)="Ma","Maryam Ltd",LEFT(SUBSTITUTE('Raw Data'!H100," ",""),1)="j","Jide Superstores",LEFT(SUBSTITUTE('Raw Data'!H100," ",""),1)="f","Femi Tech",LEFT(SUBSTITUTE('Raw Data'!H100," ",""),1)="k","Kelvin Tech",LEFT(SUBSTITUTE('Raw Data'!H100," ",""),1)="A","Adewale Stores",LEFT(SUBSTITUTE('Raw Data'!H100," ",""),2)="Al","Alpha Retailers",LEFT(SUBSTITUTE('Raw Data'!H100," ",""),1)="b","Bright Solutions",LEFT(SUBSTITUTE('Raw Data'!H100," ",""),1)="c","Chika Mart",LEFT(SUBSTITUTE('Raw Data'!H100," ",""),1)="e","Emeka Traders")</f>
        <v>Femi Tech</v>
      </c>
    </row>
    <row r="101" spans="1:13" x14ac:dyDescent="0.25">
      <c r="A101" s="20" t="str">
        <f>UPPER(SUBSTITUTE(SUBSTITUTE(SUBSTITUTE(CLEAN('Raw Data'!A101),"-","")," ",""),".",""))</f>
        <v>13MAY2025</v>
      </c>
      <c r="B101" s="20" t="str">
        <f>LEFT(Table1[[#This Row],[Raw Date]],2)</f>
        <v>13</v>
      </c>
      <c r="C101" s="20" t="str">
        <f>SUBSTITUTE(SUBSTITUTE(SUBSTITUTE(MID(Table1[[#This Row],[Raw Date]],3,3),"AMR","MAR"),"JNA","JAN"),"PAR","APR")</f>
        <v>MAY</v>
      </c>
      <c r="D101" s="30">
        <f>IF(YEAR(RIGHT(Table1[[#This Row],[Raw Date]],4))&lt;&gt;2025,2025,0)</f>
        <v>2025</v>
      </c>
      <c r="E101" s="20" t="str">
        <f t="shared" si="3"/>
        <v>13-MAY-2025</v>
      </c>
      <c r="F101" s="10" t="str" cm="1">
        <f t="array" ref="F101">_xlfn.IFS(LEFT(SUBSTITUTE('Raw Data'!B101," ",""),1)="s", "South", LEFT(SUBSTITUTE('Raw Data'!B101," ",""),1)="n", "North",LEFT(SUBSTITUTE('Raw Data'!B101," ",""),1)="e","East",LEFT(SUBSTITUTE('Raw Data'!B101," ",""),1)="w","West")</f>
        <v>West</v>
      </c>
      <c r="G101" s="10" t="str">
        <f>PROPER(CLEAN(SUBSTITUTE(SUBSTITUTE(SUBSTITUTE('Raw Data'!C101," ",""),",",""),".","")))</f>
        <v>Tablett8</v>
      </c>
      <c r="H101" s="12" t="str" cm="1">
        <f t="array" ref="H101">_xlfn.IFS(LEFT(SUBSTITUTE('Raw Data'!D101," ",""),2)="pe", "Peripherals",LEFT(SUBSTITUTE('Raw Data'!D101," ",""),2)="au", "Audio",LEFT(SUBSTITUTE('Raw Data'!D101," ",""),2)="co", "Computers", LEFT(SUBSTITUTE('Raw Data'!D101," ",""),1)="e", "Electronics",LEFT(SUBSTITUTE('Raw Data'!D101," ",""),2)="mo","Mobile",LEFT(SUBSTITUTE('Raw Data'!D101," ",""),2)="ph","Photography")</f>
        <v>Mobile</v>
      </c>
      <c r="I101" s="11">
        <f>'Raw Data'!E101</f>
        <v>18</v>
      </c>
      <c r="J101" s="13">
        <f>'Raw Data'!F101</f>
        <v>150000</v>
      </c>
      <c r="K101" s="17">
        <f>Table1[[#This Row],[Unit Price]]*Table1[[#This Row],[Units Sold]]</f>
        <v>2700000</v>
      </c>
      <c r="L101" s="10" t="str">
        <f>UPPER(TRIM(CLEAN(SUBSTITUTE(SUBSTITUTE(SUBSTITUTE('Raw Data'!G101,",",""),".","")," ",""))))</f>
        <v>GRACEAMOS</v>
      </c>
      <c r="M101" s="16" t="str" cm="1">
        <f t="array" ref="M101">_xlfn.IFS(LEFT(SUBSTITUTE('Raw Data'!H101," ",""),1)="M", "Musa Enterprrises",LEFT(SUBSTITUTE('Raw Data'!H101," ",""),1)="o", "Omega Wholesale",LEFT(SUBSTITUTE('Raw Data'!H101," ",""),4)="Tola", "Tola Ventures", LEFT(SUBSTITUTE('Raw Data'!H101," ",""),1)="T", "Tope &amp; Sons",LEFT(SUBSTITUTE('Raw Data'!H101," ",""),1)="z","Zainab Global",LEFT(SUBSTITUTE('Raw Data'!H101," ",""),2)="Ma","Maryam Ltd",LEFT(SUBSTITUTE('Raw Data'!H101," ",""),1)="j","Jide Superstores",LEFT(SUBSTITUTE('Raw Data'!H101," ",""),1)="f","Femi Tech",LEFT(SUBSTITUTE('Raw Data'!H101," ",""),1)="k","Kelvin Tech",LEFT(SUBSTITUTE('Raw Data'!H101," ",""),1)="A","Adewale Stores",LEFT(SUBSTITUTE('Raw Data'!H101," ",""),2)="Al","Alpha Retailers",LEFT(SUBSTITUTE('Raw Data'!H101," ",""),1)="b","Bright Solutions",LEFT(SUBSTITUTE('Raw Data'!H101," ",""),1)="c","Chika Mart",LEFT(SUBSTITUTE('Raw Data'!H101," ",""),1)="e","Emeka Traders")</f>
        <v>Adewale Stores</v>
      </c>
    </row>
    <row r="102" spans="1:13" x14ac:dyDescent="0.25">
      <c r="A102" s="20"/>
      <c r="B102" s="20"/>
      <c r="C102" s="31"/>
      <c r="D102" s="30"/>
      <c r="E102" s="20"/>
      <c r="F102" s="11"/>
      <c r="G102" s="10"/>
      <c r="H102" s="12"/>
      <c r="I102" s="11">
        <f>SUBTOTAL(109,Table1[Units Sold])</f>
        <v>1141</v>
      </c>
      <c r="J102" s="13"/>
      <c r="K102" s="17">
        <f>SUBTOTAL(109,Table1[Total Sales])</f>
        <v>302680445</v>
      </c>
      <c r="L102" s="10"/>
      <c r="M102" s="16"/>
    </row>
    <row r="104" spans="1:13" x14ac:dyDescent="0.25">
      <c r="K104" s="32">
        <v>293725814</v>
      </c>
    </row>
    <row r="105" spans="1:13" x14ac:dyDescent="0.25">
      <c r="K105" s="23">
        <f>Table1[[#Totals],[Total Sales]]-K104</f>
        <v>8954631</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2FDD9-ECF7-4793-80DA-48C5E0B4593C}">
  <sheetPr>
    <tabColor rgb="FF7030A0"/>
  </sheetPr>
  <dimension ref="A2:K48"/>
  <sheetViews>
    <sheetView workbookViewId="0">
      <selection activeCell="Z16" sqref="Z16"/>
    </sheetView>
  </sheetViews>
  <sheetFormatPr defaultRowHeight="15" x14ac:dyDescent="0.25"/>
  <cols>
    <col min="1" max="1" width="15.7109375" bestFit="1" customWidth="1"/>
    <col min="2" max="2" width="9.7109375" bestFit="1" customWidth="1"/>
    <col min="3" max="4" width="17.28515625" bestFit="1" customWidth="1"/>
    <col min="5" max="5" width="17.42578125" bestFit="1" customWidth="1"/>
    <col min="6" max="6" width="17.28515625" bestFit="1" customWidth="1"/>
    <col min="7" max="7" width="14.28515625" bestFit="1" customWidth="1"/>
    <col min="8" max="9" width="15.28515625" bestFit="1" customWidth="1"/>
    <col min="10" max="10" width="13.140625" bestFit="1" customWidth="1"/>
    <col min="11" max="11" width="17.28515625" bestFit="1" customWidth="1"/>
    <col min="12" max="12" width="9.140625" customWidth="1"/>
  </cols>
  <sheetData>
    <row r="2" spans="1:11" x14ac:dyDescent="0.25">
      <c r="A2" s="33" t="s">
        <v>476</v>
      </c>
      <c r="B2" s="33"/>
      <c r="D2" s="33" t="s">
        <v>477</v>
      </c>
      <c r="E2" s="33"/>
      <c r="F2" s="24"/>
      <c r="G2" s="33" t="s">
        <v>488</v>
      </c>
      <c r="H2" s="33"/>
      <c r="J2" s="33" t="s">
        <v>500</v>
      </c>
      <c r="K2" s="33"/>
    </row>
    <row r="3" spans="1:11" x14ac:dyDescent="0.25">
      <c r="A3" s="21" t="s">
        <v>473</v>
      </c>
      <c r="B3" t="s">
        <v>475</v>
      </c>
      <c r="D3" s="21" t="s">
        <v>473</v>
      </c>
      <c r="E3" t="s">
        <v>487</v>
      </c>
      <c r="G3" s="21" t="s">
        <v>473</v>
      </c>
      <c r="H3" t="s">
        <v>475</v>
      </c>
      <c r="J3" s="21" t="s">
        <v>473</v>
      </c>
      <c r="K3" t="s">
        <v>475</v>
      </c>
    </row>
    <row r="4" spans="1:11" x14ac:dyDescent="0.25">
      <c r="A4" s="22" t="s">
        <v>99</v>
      </c>
      <c r="B4" s="29">
        <v>79518498</v>
      </c>
      <c r="D4" s="22" t="s">
        <v>484</v>
      </c>
      <c r="E4" s="34">
        <v>226</v>
      </c>
      <c r="G4" s="22" t="s">
        <v>497</v>
      </c>
      <c r="H4" s="29">
        <v>87790000</v>
      </c>
      <c r="J4" s="22" t="s">
        <v>226</v>
      </c>
      <c r="K4" s="23">
        <v>8954631</v>
      </c>
    </row>
    <row r="5" spans="1:11" x14ac:dyDescent="0.25">
      <c r="A5" s="22" t="s">
        <v>71</v>
      </c>
      <c r="B5" s="29">
        <v>39490000</v>
      </c>
      <c r="D5" s="22" t="s">
        <v>485</v>
      </c>
      <c r="E5" s="34">
        <v>215</v>
      </c>
      <c r="G5" s="22" t="s">
        <v>492</v>
      </c>
      <c r="H5" s="29">
        <v>58707487</v>
      </c>
      <c r="J5" s="22" t="s">
        <v>120</v>
      </c>
      <c r="K5" s="23">
        <v>134375000</v>
      </c>
    </row>
    <row r="6" spans="1:11" x14ac:dyDescent="0.25">
      <c r="A6" s="22" t="s">
        <v>8</v>
      </c>
      <c r="B6" s="29">
        <v>68129460</v>
      </c>
      <c r="D6" s="22" t="s">
        <v>480</v>
      </c>
      <c r="E6" s="34">
        <v>191</v>
      </c>
      <c r="G6" s="22" t="s">
        <v>493</v>
      </c>
      <c r="H6" s="29">
        <v>42610000</v>
      </c>
      <c r="J6" s="22" t="s">
        <v>165</v>
      </c>
      <c r="K6" s="23">
        <v>63689500</v>
      </c>
    </row>
    <row r="7" spans="1:11" x14ac:dyDescent="0.25">
      <c r="A7" s="22" t="s">
        <v>59</v>
      </c>
      <c r="B7" s="29">
        <v>115542487</v>
      </c>
      <c r="D7" s="22" t="s">
        <v>481</v>
      </c>
      <c r="E7" s="34">
        <v>166</v>
      </c>
      <c r="G7" s="22" t="s">
        <v>491</v>
      </c>
      <c r="H7" s="29">
        <v>36226885</v>
      </c>
      <c r="J7" s="22" t="s">
        <v>20</v>
      </c>
      <c r="K7" s="23">
        <v>48231113</v>
      </c>
    </row>
    <row r="8" spans="1:11" x14ac:dyDescent="0.25">
      <c r="A8" s="22" t="s">
        <v>474</v>
      </c>
      <c r="B8" s="29">
        <v>302680445</v>
      </c>
      <c r="D8" s="22" t="s">
        <v>479</v>
      </c>
      <c r="E8" s="34">
        <v>134</v>
      </c>
      <c r="G8" s="22" t="s">
        <v>494</v>
      </c>
      <c r="H8" s="29">
        <v>28986113</v>
      </c>
      <c r="J8" s="22" t="s">
        <v>499</v>
      </c>
      <c r="K8" s="23">
        <v>21880201</v>
      </c>
    </row>
    <row r="9" spans="1:11" x14ac:dyDescent="0.25">
      <c r="D9" s="22" t="s">
        <v>483</v>
      </c>
      <c r="E9" s="34">
        <v>105</v>
      </c>
      <c r="G9" s="22" t="s">
        <v>496</v>
      </c>
      <c r="H9" s="29">
        <v>20919960</v>
      </c>
      <c r="J9" s="22" t="s">
        <v>110</v>
      </c>
      <c r="K9" s="23">
        <v>25550000</v>
      </c>
    </row>
    <row r="10" spans="1:11" x14ac:dyDescent="0.25">
      <c r="D10" s="22" t="s">
        <v>482</v>
      </c>
      <c r="E10" s="34">
        <v>82</v>
      </c>
      <c r="G10" s="22" t="s">
        <v>490</v>
      </c>
      <c r="H10" s="29">
        <v>18690000</v>
      </c>
      <c r="J10" s="22" t="s">
        <v>474</v>
      </c>
      <c r="K10" s="23">
        <v>302680445</v>
      </c>
    </row>
    <row r="11" spans="1:11" x14ac:dyDescent="0.25">
      <c r="D11" s="22" t="s">
        <v>478</v>
      </c>
      <c r="E11" s="34">
        <v>12</v>
      </c>
      <c r="G11" s="22" t="s">
        <v>495</v>
      </c>
      <c r="H11" s="29">
        <v>5250000</v>
      </c>
    </row>
    <row r="12" spans="1:11" x14ac:dyDescent="0.25">
      <c r="A12" s="33" t="s">
        <v>501</v>
      </c>
      <c r="B12" s="33"/>
      <c r="D12" s="22" t="s">
        <v>486</v>
      </c>
      <c r="E12" s="34">
        <v>10</v>
      </c>
      <c r="G12" s="22" t="s">
        <v>498</v>
      </c>
      <c r="H12" s="29">
        <v>2850000</v>
      </c>
    </row>
    <row r="13" spans="1:11" x14ac:dyDescent="0.25">
      <c r="A13" s="21" t="s">
        <v>473</v>
      </c>
      <c r="B13" t="s">
        <v>487</v>
      </c>
      <c r="D13" s="22" t="s">
        <v>474</v>
      </c>
      <c r="E13" s="25">
        <v>1141</v>
      </c>
      <c r="G13" s="22" t="s">
        <v>489</v>
      </c>
      <c r="H13" s="29">
        <v>650000</v>
      </c>
    </row>
    <row r="14" spans="1:11" x14ac:dyDescent="0.25">
      <c r="A14" s="22" t="s">
        <v>491</v>
      </c>
      <c r="B14" s="34">
        <v>224</v>
      </c>
      <c r="G14" s="22" t="s">
        <v>474</v>
      </c>
      <c r="H14" s="29">
        <v>302680445</v>
      </c>
    </row>
    <row r="15" spans="1:11" x14ac:dyDescent="0.25">
      <c r="A15" s="22" t="s">
        <v>492</v>
      </c>
      <c r="B15" s="34">
        <v>195</v>
      </c>
    </row>
    <row r="16" spans="1:11" x14ac:dyDescent="0.25">
      <c r="A16" s="22" t="s">
        <v>493</v>
      </c>
      <c r="B16" s="34">
        <v>177</v>
      </c>
      <c r="D16" s="33" t="s">
        <v>502</v>
      </c>
      <c r="E16" s="33"/>
      <c r="F16" s="33"/>
      <c r="G16" s="33"/>
      <c r="H16" s="33"/>
      <c r="I16" s="33"/>
    </row>
    <row r="17" spans="1:9" x14ac:dyDescent="0.25">
      <c r="A17" s="22" t="s">
        <v>494</v>
      </c>
      <c r="B17" s="34">
        <v>151</v>
      </c>
      <c r="D17" s="21" t="s">
        <v>475</v>
      </c>
      <c r="E17" s="21" t="s">
        <v>503</v>
      </c>
    </row>
    <row r="18" spans="1:9" x14ac:dyDescent="0.25">
      <c r="A18" s="22" t="s">
        <v>490</v>
      </c>
      <c r="B18" s="34">
        <v>124</v>
      </c>
      <c r="D18" s="21" t="s">
        <v>473</v>
      </c>
      <c r="E18" t="s">
        <v>99</v>
      </c>
      <c r="F18" t="s">
        <v>71</v>
      </c>
      <c r="G18" t="s">
        <v>8</v>
      </c>
      <c r="H18" t="s">
        <v>59</v>
      </c>
      <c r="I18" t="s">
        <v>474</v>
      </c>
    </row>
    <row r="19" spans="1:9" x14ac:dyDescent="0.25">
      <c r="A19" s="22" t="s">
        <v>497</v>
      </c>
      <c r="B19" s="34">
        <v>121</v>
      </c>
      <c r="D19" s="22" t="s">
        <v>478</v>
      </c>
      <c r="E19" s="23">
        <v>2100000</v>
      </c>
      <c r="F19" s="23"/>
      <c r="G19" s="23"/>
      <c r="H19" s="23"/>
      <c r="I19" s="23">
        <v>2100000</v>
      </c>
    </row>
    <row r="20" spans="1:9" x14ac:dyDescent="0.25">
      <c r="A20" s="22" t="s">
        <v>496</v>
      </c>
      <c r="B20" s="34">
        <v>105</v>
      </c>
      <c r="D20" s="22" t="s">
        <v>479</v>
      </c>
      <c r="E20" s="23">
        <v>15925000</v>
      </c>
      <c r="F20" s="23">
        <v>5250000</v>
      </c>
      <c r="G20" s="23">
        <v>1750000</v>
      </c>
      <c r="H20" s="23">
        <v>525000</v>
      </c>
      <c r="I20" s="23">
        <v>23450000</v>
      </c>
    </row>
    <row r="21" spans="1:9" x14ac:dyDescent="0.25">
      <c r="A21" s="22" t="s">
        <v>498</v>
      </c>
      <c r="B21" s="34">
        <v>19</v>
      </c>
      <c r="D21" s="22" t="s">
        <v>480</v>
      </c>
      <c r="E21" s="23">
        <v>18000000</v>
      </c>
      <c r="F21" s="23">
        <v>8250000</v>
      </c>
      <c r="G21" s="23">
        <v>25875000</v>
      </c>
      <c r="H21" s="23">
        <v>82250000</v>
      </c>
      <c r="I21" s="23">
        <v>134375000</v>
      </c>
    </row>
    <row r="22" spans="1:9" x14ac:dyDescent="0.25">
      <c r="A22" s="22" t="s">
        <v>495</v>
      </c>
      <c r="B22" s="34">
        <v>15</v>
      </c>
      <c r="D22" s="22" t="s">
        <v>481</v>
      </c>
      <c r="E22" s="23">
        <v>13552385</v>
      </c>
      <c r="F22" s="23">
        <v>1105000</v>
      </c>
      <c r="G22" s="23">
        <v>3479960</v>
      </c>
      <c r="H22" s="23">
        <v>3092856</v>
      </c>
      <c r="I22" s="23">
        <v>21230201</v>
      </c>
    </row>
    <row r="23" spans="1:9" x14ac:dyDescent="0.25">
      <c r="A23" s="22" t="s">
        <v>489</v>
      </c>
      <c r="B23" s="34">
        <v>10</v>
      </c>
      <c r="D23" s="22" t="s">
        <v>482</v>
      </c>
      <c r="E23" s="23">
        <v>6051113</v>
      </c>
      <c r="F23" s="23">
        <v>5940000</v>
      </c>
      <c r="G23" s="23">
        <v>1440000</v>
      </c>
      <c r="H23" s="23">
        <v>900000</v>
      </c>
      <c r="I23" s="23">
        <v>14331113</v>
      </c>
    </row>
    <row r="24" spans="1:9" x14ac:dyDescent="0.25">
      <c r="A24" s="22" t="s">
        <v>474</v>
      </c>
      <c r="B24" s="25">
        <v>1141</v>
      </c>
      <c r="D24" s="22" t="s">
        <v>483</v>
      </c>
      <c r="E24" s="23">
        <v>3910000</v>
      </c>
      <c r="F24" s="23">
        <v>1445000</v>
      </c>
      <c r="G24" s="23">
        <v>2975000</v>
      </c>
      <c r="H24" s="23">
        <v>624631</v>
      </c>
      <c r="I24" s="23">
        <v>8954631</v>
      </c>
    </row>
    <row r="25" spans="1:9" x14ac:dyDescent="0.25">
      <c r="D25" s="22" t="s">
        <v>484</v>
      </c>
      <c r="E25" s="23">
        <v>11700000</v>
      </c>
      <c r="F25" s="23">
        <v>4200000</v>
      </c>
      <c r="G25" s="23">
        <v>10500000</v>
      </c>
      <c r="H25" s="23">
        <v>7500000</v>
      </c>
      <c r="I25" s="23">
        <v>33900000</v>
      </c>
    </row>
    <row r="26" spans="1:9" x14ac:dyDescent="0.25">
      <c r="D26" s="22" t="s">
        <v>485</v>
      </c>
      <c r="E26" s="23">
        <v>7630000</v>
      </c>
      <c r="F26" s="23">
        <v>13300000</v>
      </c>
      <c r="G26" s="23">
        <v>22109500</v>
      </c>
      <c r="H26" s="23">
        <v>20650000</v>
      </c>
      <c r="I26" s="23">
        <v>63689500</v>
      </c>
    </row>
    <row r="27" spans="1:9" x14ac:dyDescent="0.25">
      <c r="D27" s="22" t="s">
        <v>486</v>
      </c>
      <c r="E27" s="23">
        <v>650000</v>
      </c>
      <c r="F27" s="23"/>
      <c r="G27" s="23"/>
      <c r="H27" s="23"/>
      <c r="I27" s="23">
        <v>650000</v>
      </c>
    </row>
    <row r="28" spans="1:9" x14ac:dyDescent="0.25">
      <c r="D28" s="22" t="s">
        <v>474</v>
      </c>
      <c r="E28" s="23">
        <v>79518498</v>
      </c>
      <c r="F28" s="23">
        <v>39490000</v>
      </c>
      <c r="G28" s="23">
        <v>68129460</v>
      </c>
      <c r="H28" s="23">
        <v>115542487</v>
      </c>
      <c r="I28" s="23">
        <v>302680445</v>
      </c>
    </row>
    <row r="31" spans="1:9" x14ac:dyDescent="0.25">
      <c r="A31" s="33" t="s">
        <v>505</v>
      </c>
      <c r="B31" s="33"/>
      <c r="C31" s="33"/>
      <c r="E31" s="33" t="s">
        <v>513</v>
      </c>
      <c r="F31" s="33"/>
    </row>
    <row r="32" spans="1:9" x14ac:dyDescent="0.25">
      <c r="A32" s="21" t="s">
        <v>473</v>
      </c>
      <c r="B32" s="28" t="s">
        <v>504</v>
      </c>
      <c r="C32" t="s">
        <v>475</v>
      </c>
      <c r="E32" s="21" t="s">
        <v>473</v>
      </c>
      <c r="F32" t="s">
        <v>475</v>
      </c>
    </row>
    <row r="33" spans="1:6" x14ac:dyDescent="0.25">
      <c r="A33" s="22" t="s">
        <v>120</v>
      </c>
      <c r="B33" s="26">
        <v>0.44395005432214163</v>
      </c>
      <c r="C33" s="23">
        <v>134375000</v>
      </c>
      <c r="E33" s="22" t="s">
        <v>75</v>
      </c>
      <c r="F33" s="29">
        <v>89559500</v>
      </c>
    </row>
    <row r="34" spans="1:6" x14ac:dyDescent="0.25">
      <c r="A34" s="27" t="s">
        <v>480</v>
      </c>
      <c r="B34" s="26">
        <v>0.44395005432214163</v>
      </c>
      <c r="C34" s="23">
        <v>134375000</v>
      </c>
      <c r="E34" s="22" t="s">
        <v>510</v>
      </c>
      <c r="F34" s="29">
        <v>39626113</v>
      </c>
    </row>
    <row r="35" spans="1:6" x14ac:dyDescent="0.25">
      <c r="A35" s="22" t="s">
        <v>165</v>
      </c>
      <c r="B35" s="26">
        <v>0.21041828453767472</v>
      </c>
      <c r="C35" s="23">
        <v>63689500</v>
      </c>
      <c r="E35" s="22" t="s">
        <v>511</v>
      </c>
      <c r="F35" s="29">
        <v>31715000</v>
      </c>
    </row>
    <row r="36" spans="1:6" x14ac:dyDescent="0.25">
      <c r="A36" s="27" t="s">
        <v>485</v>
      </c>
      <c r="B36" s="26">
        <v>0.21041828453767472</v>
      </c>
      <c r="C36" s="23">
        <v>63689500</v>
      </c>
      <c r="E36" s="22" t="s">
        <v>260</v>
      </c>
      <c r="F36" s="29">
        <v>31117487</v>
      </c>
    </row>
    <row r="37" spans="1:6" x14ac:dyDescent="0.25">
      <c r="A37" s="22" t="s">
        <v>20</v>
      </c>
      <c r="B37" s="26">
        <v>0.15934664361947795</v>
      </c>
      <c r="C37" s="23">
        <v>48231113</v>
      </c>
      <c r="E37" s="22" t="s">
        <v>512</v>
      </c>
      <c r="F37" s="29">
        <v>23270000</v>
      </c>
    </row>
    <row r="38" spans="1:6" x14ac:dyDescent="0.25">
      <c r="A38" s="27" t="s">
        <v>484</v>
      </c>
      <c r="B38" s="26">
        <v>0.11199930672759517</v>
      </c>
      <c r="C38" s="23">
        <v>33900000</v>
      </c>
      <c r="E38" s="22" t="s">
        <v>474</v>
      </c>
      <c r="F38" s="29">
        <v>215288100</v>
      </c>
    </row>
    <row r="39" spans="1:6" x14ac:dyDescent="0.25">
      <c r="A39" s="27" t="s">
        <v>482</v>
      </c>
      <c r="B39" s="26">
        <v>4.7347336891882794E-2</v>
      </c>
      <c r="C39" s="23">
        <v>14331113</v>
      </c>
    </row>
    <row r="40" spans="1:6" x14ac:dyDescent="0.25">
      <c r="A40" s="22" t="s">
        <v>110</v>
      </c>
      <c r="B40" s="26">
        <v>8.4412456840414651E-2</v>
      </c>
      <c r="C40" s="23">
        <v>25550000</v>
      </c>
    </row>
    <row r="41" spans="1:6" x14ac:dyDescent="0.25">
      <c r="A41" s="27" t="s">
        <v>479</v>
      </c>
      <c r="B41" s="26">
        <v>7.7474446689147686E-2</v>
      </c>
      <c r="C41" s="23">
        <v>23450000</v>
      </c>
    </row>
    <row r="42" spans="1:6" x14ac:dyDescent="0.25">
      <c r="A42" s="27" t="s">
        <v>478</v>
      </c>
      <c r="B42" s="26">
        <v>6.9380101512669578E-3</v>
      </c>
      <c r="C42" s="23">
        <v>2100000</v>
      </c>
    </row>
    <row r="43" spans="1:6" x14ac:dyDescent="0.25">
      <c r="A43" s="22" t="s">
        <v>499</v>
      </c>
      <c r="B43" s="26">
        <v>7.2288122214172107E-2</v>
      </c>
      <c r="C43" s="23">
        <v>21880201</v>
      </c>
    </row>
    <row r="44" spans="1:6" x14ac:dyDescent="0.25">
      <c r="A44" s="27" t="s">
        <v>481</v>
      </c>
      <c r="B44" s="26">
        <v>7.01406428816371E-2</v>
      </c>
      <c r="C44" s="23">
        <v>21230201</v>
      </c>
    </row>
    <row r="45" spans="1:6" x14ac:dyDescent="0.25">
      <c r="A45" s="27" t="s">
        <v>486</v>
      </c>
      <c r="B45" s="26">
        <v>2.1474793325350107E-3</v>
      </c>
      <c r="C45" s="23">
        <v>650000</v>
      </c>
    </row>
    <row r="46" spans="1:6" x14ac:dyDescent="0.25">
      <c r="A46" s="22" t="s">
        <v>226</v>
      </c>
      <c r="B46" s="26">
        <v>2.9584438466118947E-2</v>
      </c>
      <c r="C46" s="23">
        <v>8954631</v>
      </c>
    </row>
    <row r="47" spans="1:6" x14ac:dyDescent="0.25">
      <c r="A47" s="27" t="s">
        <v>483</v>
      </c>
      <c r="B47" s="26">
        <v>2.9584438466118947E-2</v>
      </c>
      <c r="C47" s="23">
        <v>8954631</v>
      </c>
    </row>
    <row r="48" spans="1:6" x14ac:dyDescent="0.25">
      <c r="A48" s="22" t="s">
        <v>474</v>
      </c>
      <c r="B48" s="26">
        <v>1</v>
      </c>
      <c r="C48" s="23">
        <v>302680445</v>
      </c>
    </row>
  </sheetData>
  <mergeCells count="8">
    <mergeCell ref="J2:K2"/>
    <mergeCell ref="A12:B12"/>
    <mergeCell ref="D16:I16"/>
    <mergeCell ref="A31:C31"/>
    <mergeCell ref="A2:B2"/>
    <mergeCell ref="D2:E2"/>
    <mergeCell ref="G2:H2"/>
    <mergeCell ref="E31:F31"/>
  </mergeCells>
  <pageMargins left="0.7" right="0.7" top="0.75" bottom="0.75" header="0.3" footer="0.3"/>
  <pageSetup orientation="portrait" r:id="rId9"/>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153547-474F-42D3-A29E-A3704C36ABAD}">
  <sheetPr>
    <tabColor theme="9" tint="-0.499984740745262"/>
  </sheetPr>
  <dimension ref="A1"/>
  <sheetViews>
    <sheetView showGridLines="0" tabSelected="1" topLeftCell="B1" zoomScale="68" zoomScaleNormal="68" workbookViewId="0">
      <selection activeCell="X5" sqref="X5"/>
    </sheetView>
  </sheetViews>
  <sheetFormatPr defaultRowHeight="15" x14ac:dyDescent="0.25"/>
  <cols>
    <col min="1" max="1" width="1.42578125" hidden="1" customWidth="1"/>
    <col min="2" max="2" width="5.5703125" customWidth="1"/>
    <col min="3" max="3" width="8" customWidth="1"/>
    <col min="4" max="4" width="14.5703125" customWidth="1"/>
    <col min="5" max="5" width="9.140625" customWidth="1"/>
    <col min="6" max="6" width="7.28515625" customWidth="1"/>
    <col min="7" max="7" width="10.140625" customWidth="1"/>
    <col min="8" max="8" width="11.28515625" customWidth="1"/>
    <col min="9" max="9" width="6" customWidth="1"/>
    <col min="10" max="10" width="8" customWidth="1"/>
    <col min="11" max="11" width="9" customWidth="1"/>
    <col min="12" max="12" width="6" customWidth="1"/>
    <col min="13" max="13" width="13" customWidth="1"/>
    <col min="14" max="14" width="10.28515625" customWidth="1"/>
    <col min="15" max="15" width="8.140625" customWidth="1"/>
    <col min="16" max="16" width="6.5703125" customWidth="1"/>
    <col min="17" max="17" width="7.28515625" customWidth="1"/>
    <col min="18" max="18" width="10.28515625" customWidth="1"/>
    <col min="19" max="19" width="5" customWidth="1"/>
    <col min="20" max="20" width="16.140625" customWidth="1"/>
  </cols>
  <sheetData/>
  <pageMargins left="0.11" right="0.13" top="0.24" bottom="0.21" header="0.14000000000000001" footer="0.11"/>
  <pageSetup orientation="landscape"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Cover</vt:lpstr>
      <vt:lpstr>Raw Data</vt:lpstr>
      <vt:lpstr>Solution</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Muhsin H.</dc:creator>
  <cp:keywords>Personal</cp:keywords>
  <cp:lastModifiedBy>HP</cp:lastModifiedBy>
  <cp:lastPrinted>2026-01-16T03:45:09Z</cp:lastPrinted>
  <dcterms:created xsi:type="dcterms:W3CDTF">2025-10-20T20:05:08Z</dcterms:created>
  <dcterms:modified xsi:type="dcterms:W3CDTF">2026-01-16T04:01:44Z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2025-10-28T17:00:44Z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e850a7d0-6f71-4a59-8f31-fc421635ba4f</vt:lpwstr>
  </property>
  <property fmtid="{D5CDD505-2E9C-101B-9397-08002B2CF9AE}" pid="7" name="MSIP_Label_defa4170-0d19-0005-0004-bc88714345d2_ActionId">
    <vt:lpwstr>a905a4e3-0ba4-43da-99e7-ede8b93906d5</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